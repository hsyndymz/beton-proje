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ASAÜSTÜ\yeni proje\"/>
    </mc:Choice>
  </mc:AlternateContent>
  <xr:revisionPtr revIDLastSave="0" documentId="13_ncr:1_{09AE531B-65CD-4AAA-83C7-3CDB3E7916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1" l="1"/>
  <c r="D53" i="1" s="1"/>
  <c r="P53" i="1" s="1"/>
  <c r="B52" i="1"/>
  <c r="D52" i="1" s="1"/>
  <c r="P52" i="1" s="1"/>
  <c r="M51" i="1"/>
  <c r="M50" i="1"/>
  <c r="M49" i="1"/>
  <c r="M48" i="1"/>
  <c r="B47" i="1"/>
  <c r="D47" i="1" s="1"/>
  <c r="BC46" i="1"/>
  <c r="B46" i="1"/>
  <c r="D46" i="1" s="1"/>
  <c r="P46" i="1" s="1"/>
  <c r="BC45" i="1"/>
  <c r="B45" i="1"/>
  <c r="D45" i="1" s="1"/>
  <c r="BC44" i="1"/>
  <c r="U44" i="1"/>
  <c r="BC43" i="1"/>
  <c r="D43" i="1"/>
  <c r="BC42" i="1"/>
  <c r="BC41" i="1"/>
  <c r="D39" i="1"/>
  <c r="B39" i="1"/>
  <c r="D38" i="1"/>
  <c r="B38" i="1"/>
  <c r="BC37" i="1"/>
  <c r="BC36" i="1"/>
  <c r="BC35" i="1"/>
  <c r="D33" i="1"/>
  <c r="B33" i="1"/>
  <c r="I80" i="1" s="1"/>
  <c r="D32" i="1"/>
  <c r="B32" i="1"/>
  <c r="D31" i="1"/>
  <c r="B31" i="1"/>
  <c r="D30" i="1"/>
  <c r="B30" i="1"/>
  <c r="AV23" i="1"/>
  <c r="AV22" i="1"/>
  <c r="AV21" i="1"/>
  <c r="O21" i="1"/>
  <c r="AV20" i="1"/>
  <c r="AV19" i="1"/>
  <c r="O19" i="1"/>
  <c r="C19" i="1"/>
  <c r="AV18" i="1"/>
  <c r="AV17" i="1"/>
  <c r="Q17" i="1"/>
  <c r="AV14" i="1" s="1"/>
  <c r="P17" i="1"/>
  <c r="O17" i="1"/>
  <c r="N17" i="1"/>
  <c r="M17" i="1"/>
  <c r="L17" i="1"/>
  <c r="K17" i="1"/>
  <c r="BC40" i="1" s="1"/>
  <c r="J17" i="1"/>
  <c r="BC39" i="1" s="1"/>
  <c r="I17" i="1"/>
  <c r="BC38" i="1" s="1"/>
  <c r="H17" i="1"/>
  <c r="G17" i="1"/>
  <c r="AV24" i="1" s="1"/>
  <c r="F17" i="1"/>
  <c r="AV25" i="1" s="1"/>
  <c r="AV16" i="1"/>
  <c r="AV15" i="1"/>
  <c r="P45" i="1" l="1"/>
  <c r="B34" i="1"/>
  <c r="B37" i="1"/>
  <c r="D37" i="1" s="1"/>
  <c r="B51" i="1" s="1"/>
  <c r="D51" i="1" s="1"/>
  <c r="B36" i="1"/>
  <c r="D36" i="1" s="1"/>
  <c r="B50" i="1" s="1"/>
  <c r="D50" i="1" s="1"/>
  <c r="B35" i="1"/>
  <c r="D35" i="1" s="1"/>
  <c r="B49" i="1" s="1"/>
  <c r="D49" i="1" s="1"/>
  <c r="P49" i="1" s="1"/>
  <c r="P50" i="1"/>
  <c r="P51" i="1"/>
  <c r="O23" i="1" l="1"/>
  <c r="D34" i="1"/>
  <c r="B40" i="1"/>
  <c r="B48" i="1" l="1"/>
  <c r="O25" i="1"/>
  <c r="O27" i="1" s="1"/>
  <c r="D40" i="1"/>
  <c r="D48" i="1" l="1"/>
  <c r="B54" i="1"/>
  <c r="P48" i="1" l="1"/>
  <c r="M47" i="1" s="1"/>
  <c r="P47" i="1" s="1"/>
  <c r="D54" i="1"/>
  <c r="Q47" i="1" l="1"/>
  <c r="P54" i="1"/>
</calcChain>
</file>

<file path=xl/sharedStrings.xml><?xml version="1.0" encoding="utf-8"?>
<sst xmlns="http://schemas.openxmlformats.org/spreadsheetml/2006/main" count="102" uniqueCount="80">
  <si>
    <t>Karayolları 9.Bölge Müdürlüğü</t>
  </si>
  <si>
    <t>Araştırma ve Geliştirme Başmühendisliği</t>
  </si>
  <si>
    <t>Beton Karışım Hesabı Karışım Oranları Hesap Cetveli Ve Agrega Dağılım Grafiği(TS 802/HAZİRAN 2009)</t>
  </si>
  <si>
    <t>MALZEME İÇERİĞİ</t>
  </si>
  <si>
    <t>AGREGA ELEK ANALİZİ</t>
  </si>
  <si>
    <t xml:space="preserve"> Lab. No - Deneme Tarihi </t>
  </si>
  <si>
    <t>OCB-7/3</t>
  </si>
  <si>
    <t>AGREGA TİPİ</t>
  </si>
  <si>
    <t>ELEKLER (mm)</t>
  </si>
  <si>
    <t>Malzemeler</t>
  </si>
  <si>
    <t>Miktar</t>
  </si>
  <si>
    <t>Çimento Miktarı (kg)</t>
  </si>
  <si>
    <t>CEM II 42.5R  
Çimento</t>
  </si>
  <si>
    <t>15-25 mm Bazalt Agrega</t>
  </si>
  <si>
    <t>Elek   (mm)</t>
  </si>
  <si>
    <t>Elekten geçen % (yığışımlı)</t>
  </si>
  <si>
    <t>Karışım</t>
  </si>
  <si>
    <t>Su Miktarı (kg)</t>
  </si>
  <si>
    <t>5-15 mm Bazalt Agrega</t>
  </si>
  <si>
    <t>Min.</t>
  </si>
  <si>
    <t>Orta</t>
  </si>
  <si>
    <t>Max.</t>
  </si>
  <si>
    <t>%</t>
  </si>
  <si>
    <t>0-5 mm Bazalt Agrega Yıkanmamış</t>
  </si>
  <si>
    <t>0-5 mm Bazalt Agrega Yıkanmış</t>
  </si>
  <si>
    <t>Şartname</t>
  </si>
  <si>
    <t xml:space="preserve"> Karışım Gradasyonu</t>
  </si>
  <si>
    <t>Toplam Agrega (%)</t>
  </si>
  <si>
    <t>s/ç Oranı (Bağlayıcı)</t>
  </si>
  <si>
    <t>Mineral Katkı (kg)</t>
  </si>
  <si>
    <t>Mineral Katkı Kat. (k)</t>
  </si>
  <si>
    <t>ç/s Oranı (Bağlayıcı)</t>
  </si>
  <si>
    <t>Toplam Hava Mik. (%)</t>
  </si>
  <si>
    <t>Dmax (mm)</t>
  </si>
  <si>
    <t>Toplam Agrega Hacmi (L)</t>
  </si>
  <si>
    <t xml:space="preserve">Kimyasal Kat.  (%) </t>
  </si>
  <si>
    <t>POLİSAN P 867 Akışkanlaştırıcı</t>
  </si>
  <si>
    <t xml:space="preserve">Kimyasal Kat. 2 (%) </t>
  </si>
  <si>
    <t>POLİSAN Air Hava Sürükleyici</t>
  </si>
  <si>
    <t>Toplam Agrega Hacmi (KG)</t>
  </si>
  <si>
    <t>Kim.Kat 1'deki Ser. Su Oranı</t>
  </si>
  <si>
    <t>Çimento/Agrega Oranı  (%)</t>
  </si>
  <si>
    <t>İÇERİK MALZEME MİKTARLARI</t>
  </si>
  <si>
    <t>Hacim                           (dm³)</t>
  </si>
  <si>
    <t>Özgül Ağırlık 
(ssd)</t>
  </si>
  <si>
    <t>Miktar
(kg/m³)</t>
  </si>
  <si>
    <t>Çimento</t>
  </si>
  <si>
    <t xml:space="preserve">Mineral Katkı </t>
  </si>
  <si>
    <t>Su</t>
  </si>
  <si>
    <t>Toplam Hava Miktarı</t>
  </si>
  <si>
    <t>20 mm</t>
  </si>
  <si>
    <t>Lower Limit / Alt Limit</t>
  </si>
  <si>
    <t>Upper Limit / Üst Limit</t>
  </si>
  <si>
    <t>Specification / Şartname</t>
  </si>
  <si>
    <t>Gradation / Gradasyon</t>
  </si>
  <si>
    <t xml:space="preserve">Kimyasal Katkı 1  </t>
  </si>
  <si>
    <t xml:space="preserve">Kimyasal Katkı 2 </t>
  </si>
  <si>
    <t>Karışım Hacmi (dm³)</t>
  </si>
  <si>
    <t>Teorik
Birim Ağırlık (kg/m³)</t>
  </si>
  <si>
    <t>Deneme Karışım Miktarları (dm³)</t>
  </si>
  <si>
    <t>LABORATUVAR DENEMESİNDEKİ MALZEME MİKTARLARI</t>
  </si>
  <si>
    <t>Düzeltilmiş Değerler
(kg)</t>
  </si>
  <si>
    <t xml:space="preserve"> Malzemeler</t>
  </si>
  <si>
    <t>Miktar
 1 m³ (kg)</t>
  </si>
  <si>
    <t>Agrega Su Muhtevası
(%)</t>
  </si>
  <si>
    <t>Su Emme Kapasitesi
(%)</t>
  </si>
  <si>
    <t>Düzeltme değerleri
(kg)</t>
  </si>
  <si>
    <t>dm³</t>
  </si>
  <si>
    <t xml:space="preserve">Kimyasal Katkı 1 </t>
  </si>
  <si>
    <t xml:space="preserve"> TAZE BETON TEST SONUÇLARI</t>
  </si>
  <si>
    <t>Çökme (cm)</t>
  </si>
  <si>
    <t>Çökme 30 Dak (cm)</t>
  </si>
  <si>
    <t>Çökme  60 Dak (cm)</t>
  </si>
  <si>
    <t>Toplam Hava Miktarı (%)</t>
  </si>
  <si>
    <t>Birim Ağırlık (kg/m³)</t>
  </si>
  <si>
    <t>Deney sonuçları, sadece deneye tabi tutulan numuneler için geçerlidir.
Laboratuarlarımız tarafından numune alma işlemi gerçekleştirilmediğinden,  deneye tabi tutulan numunelerin temsil özelliğinden laboratuarlarımız sorumlu değildir.</t>
  </si>
  <si>
    <t>Bu rapor, laboratuvarın yazılı izni olmadan kısmen kopyalanıp çoğaltılamaz. 
İmzasız ve mühürsüz raporlar geçersizdir.                                                                                                                                                                                                                                                                                                                                                                                                                                                                                                                                                                                                                                                                                   
İrtibat Bilgileri: 
Ar-Ge Baş.Müh Tel           : 0412 228 80 50 (2200)
Beton Lab. Sorumlu Müh   : 0412 228 80 50 (2202)</t>
  </si>
  <si>
    <r>
      <rPr>
        <sz val="12"/>
        <rFont val="Arial"/>
        <family val="2"/>
        <charset val="162"/>
      </rPr>
      <t xml:space="preserve">Araştıma ve Geliştirme Başmühendisliğimiz
 </t>
    </r>
    <r>
      <rPr>
        <sz val="12"/>
        <color rgb="FFFF0000"/>
        <rFont val="Arial"/>
        <family val="2"/>
        <charset val="162"/>
      </rPr>
      <t>TS EN ISO9001:2008</t>
    </r>
    <r>
      <rPr>
        <sz val="12"/>
        <rFont val="Arial"/>
        <family val="2"/>
        <charset val="162"/>
      </rPr>
      <t xml:space="preserve"> standardına uygun olarak belgelendirilmiştir</t>
    </r>
  </si>
  <si>
    <t>B09.ARŞ.KP.01.FR-03 Rev.00</t>
  </si>
  <si>
    <t>Absolute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</si>
</sst>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00"/>
    <numFmt numFmtId="167" formatCode="_-* #,##0.00\ _T_L_-;\-* #,##0.00\ _T_L_-;_-* &quot;-&quot;??\ _T_L_-;_-@_-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20"/>
      <name val="Tahoma"/>
      <family val="2"/>
      <charset val="162"/>
    </font>
    <font>
      <b/>
      <sz val="14"/>
      <name val="Tahoma"/>
      <family val="2"/>
      <charset val="162"/>
    </font>
    <font>
      <b/>
      <sz val="16"/>
      <name val="Tahoma"/>
      <family val="2"/>
      <charset val="162"/>
    </font>
    <font>
      <sz val="7"/>
      <name val="Arial"/>
      <family val="2"/>
      <charset val="162"/>
    </font>
    <font>
      <b/>
      <sz val="12"/>
      <name val="Arial"/>
      <family val="2"/>
      <charset val="162"/>
    </font>
    <font>
      <sz val="5"/>
      <name val="Arial"/>
      <family val="2"/>
      <charset val="162"/>
    </font>
    <font>
      <sz val="8"/>
      <name val="Arial Tur"/>
      <charset val="162"/>
    </font>
    <font>
      <b/>
      <sz val="16"/>
      <name val="Arial"/>
      <family val="2"/>
      <charset val="162"/>
    </font>
    <font>
      <sz val="16"/>
      <name val="Arial"/>
      <family val="2"/>
      <charset val="162"/>
    </font>
    <font>
      <sz val="12"/>
      <name val="Arial"/>
      <family val="2"/>
      <charset val="162"/>
    </font>
    <font>
      <b/>
      <sz val="14"/>
      <name val="Arial"/>
      <family val="2"/>
      <charset val="162"/>
    </font>
    <font>
      <sz val="11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8"/>
      <color indexed="10"/>
      <name val="Arial"/>
      <family val="2"/>
      <charset val="162"/>
    </font>
    <font>
      <b/>
      <sz val="9"/>
      <name val="Arial"/>
      <family val="2"/>
      <charset val="162"/>
    </font>
    <font>
      <sz val="9"/>
      <color rgb="FFFF3300"/>
      <name val="Arial"/>
      <family val="2"/>
      <charset val="162"/>
    </font>
    <font>
      <sz val="9"/>
      <color indexed="10"/>
      <name val="Arial"/>
      <family val="2"/>
      <charset val="162"/>
    </font>
    <font>
      <sz val="8"/>
      <name val="Arial"/>
      <family val="2"/>
      <charset val="162"/>
    </font>
    <font>
      <b/>
      <sz val="14"/>
      <color indexed="10"/>
      <name val="Arial"/>
      <family val="2"/>
      <charset val="162"/>
    </font>
    <font>
      <sz val="9"/>
      <color rgb="FFFF0000"/>
      <name val="Arial"/>
      <family val="2"/>
      <charset val="162"/>
    </font>
    <font>
      <sz val="10"/>
      <color indexed="62"/>
      <name val="Arial"/>
      <family val="2"/>
      <charset val="162"/>
    </font>
    <font>
      <sz val="10"/>
      <color indexed="21"/>
      <name val="Arial"/>
      <family val="2"/>
      <charset val="162"/>
    </font>
    <font>
      <b/>
      <sz val="12"/>
      <name val="Times New Roman"/>
      <family val="1"/>
      <charset val="162"/>
    </font>
    <font>
      <b/>
      <sz val="12"/>
      <color rgb="FFFF0000"/>
      <name val="Arial"/>
      <family val="2"/>
      <charset val="162"/>
    </font>
    <font>
      <sz val="9"/>
      <name val="Arial"/>
      <family val="2"/>
      <charset val="162"/>
    </font>
    <font>
      <sz val="10"/>
      <color indexed="10"/>
      <name val="Arial"/>
      <family val="2"/>
      <charset val="162"/>
    </font>
    <font>
      <sz val="10"/>
      <color indexed="10"/>
      <name val="Tahoma"/>
      <family val="2"/>
      <charset val="162"/>
    </font>
    <font>
      <sz val="10"/>
      <name val="Tahoma"/>
      <family val="2"/>
      <charset val="162"/>
    </font>
    <font>
      <sz val="12"/>
      <color theme="0"/>
      <name val="Arial"/>
      <family val="2"/>
      <charset val="162"/>
    </font>
    <font>
      <b/>
      <sz val="10"/>
      <name val="Arial"/>
      <family val="2"/>
      <charset val="162"/>
    </font>
    <font>
      <sz val="12"/>
      <color rgb="FFFF0000"/>
      <name val="Arial"/>
      <family val="2"/>
      <charset val="162"/>
    </font>
    <font>
      <sz val="14"/>
      <name val="Arial"/>
      <family val="2"/>
      <charset val="162"/>
    </font>
    <font>
      <sz val="10"/>
      <color indexed="9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16" fontId="5" fillId="0" borderId="0" xfId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14" fontId="14" fillId="0" borderId="15" xfId="1" applyNumberFormat="1" applyFont="1" applyBorder="1" applyAlignment="1">
      <alignment horizontal="center" vertical="center"/>
    </xf>
    <xf numFmtId="49" fontId="14" fillId="2" borderId="15" xfId="1" applyNumberFormat="1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64" fontId="6" fillId="0" borderId="15" xfId="1" applyNumberFormat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4" xfId="1" applyFont="1" applyBorder="1" applyAlignment="1">
      <alignment vertical="center"/>
    </xf>
    <xf numFmtId="0" fontId="15" fillId="2" borderId="15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/>
    </xf>
    <xf numFmtId="0" fontId="16" fillId="0" borderId="15" xfId="1" applyFont="1" applyBorder="1" applyAlignment="1">
      <alignment horizontal="left" vertical="center" wrapText="1"/>
    </xf>
    <xf numFmtId="0" fontId="17" fillId="3" borderId="15" xfId="1" applyFont="1" applyFill="1" applyBorder="1" applyAlignment="1">
      <alignment horizontal="center" vertical="center"/>
    </xf>
    <xf numFmtId="1" fontId="18" fillId="2" borderId="15" xfId="1" applyNumberFormat="1" applyFont="1" applyFill="1" applyBorder="1" applyAlignment="1">
      <alignment horizontal="center" vertical="center"/>
    </xf>
    <xf numFmtId="2" fontId="18" fillId="2" borderId="15" xfId="1" applyNumberFormat="1" applyFont="1" applyFill="1" applyBorder="1" applyAlignment="1">
      <alignment horizontal="center" vertical="center"/>
    </xf>
    <xf numFmtId="2" fontId="18" fillId="2" borderId="21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left" vertical="center" wrapText="1"/>
    </xf>
    <xf numFmtId="0" fontId="17" fillId="3" borderId="0" xfId="1" applyFont="1" applyFill="1" applyAlignment="1">
      <alignment horizontal="center" vertical="center"/>
    </xf>
    <xf numFmtId="1" fontId="18" fillId="2" borderId="0" xfId="1" applyNumberFormat="1" applyFont="1" applyFill="1" applyAlignment="1">
      <alignment horizontal="center" vertical="center"/>
    </xf>
    <xf numFmtId="2" fontId="18" fillId="2" borderId="0" xfId="1" applyNumberFormat="1" applyFont="1" applyFill="1" applyAlignment="1">
      <alignment horizontal="center" vertical="center"/>
    </xf>
    <xf numFmtId="0" fontId="19" fillId="0" borderId="22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19" fillId="0" borderId="24" xfId="0" applyFont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19" fillId="0" borderId="22" xfId="0" applyFont="1" applyBorder="1" applyAlignment="1">
      <alignment horizontal="center"/>
    </xf>
    <xf numFmtId="0" fontId="19" fillId="0" borderId="26" xfId="0" applyFont="1" applyBorder="1" applyAlignment="1">
      <alignment horizontal="center" wrapText="1"/>
    </xf>
    <xf numFmtId="0" fontId="19" fillId="0" borderId="27" xfId="0" applyFont="1" applyBorder="1"/>
    <xf numFmtId="0" fontId="19" fillId="0" borderId="26" xfId="0" applyFont="1" applyBorder="1" applyAlignment="1">
      <alignment horizontal="center"/>
    </xf>
    <xf numFmtId="0" fontId="20" fillId="2" borderId="15" xfId="1" applyFont="1" applyFill="1" applyBorder="1" applyAlignment="1">
      <alignment horizontal="center" vertical="center"/>
    </xf>
    <xf numFmtId="17" fontId="16" fillId="0" borderId="15" xfId="1" applyNumberFormat="1" applyFont="1" applyBorder="1" applyAlignment="1">
      <alignment horizontal="left" vertical="center" wrapText="1"/>
    </xf>
    <xf numFmtId="164" fontId="18" fillId="2" borderId="15" xfId="1" applyNumberFormat="1" applyFont="1" applyFill="1" applyBorder="1" applyAlignment="1">
      <alignment horizontal="center" vertical="center"/>
    </xf>
    <xf numFmtId="2" fontId="21" fillId="2" borderId="15" xfId="1" applyNumberFormat="1" applyFont="1" applyFill="1" applyBorder="1" applyAlignment="1">
      <alignment horizontal="center" vertical="center"/>
    </xf>
    <xf numFmtId="2" fontId="21" fillId="2" borderId="21" xfId="1" applyNumberFormat="1" applyFont="1" applyFill="1" applyBorder="1" applyAlignment="1">
      <alignment horizontal="center" vertical="center"/>
    </xf>
    <xf numFmtId="17" fontId="16" fillId="0" borderId="0" xfId="1" applyNumberFormat="1" applyFont="1" applyAlignment="1">
      <alignment horizontal="left" vertical="center" wrapText="1"/>
    </xf>
    <xf numFmtId="164" fontId="18" fillId="2" borderId="0" xfId="1" applyNumberFormat="1" applyFont="1" applyFill="1" applyAlignment="1">
      <alignment horizontal="center" vertical="center"/>
    </xf>
    <xf numFmtId="2" fontId="21" fillId="2" borderId="0" xfId="1" applyNumberFormat="1" applyFont="1" applyFill="1" applyAlignment="1">
      <alignment horizontal="center" vertical="center"/>
    </xf>
    <xf numFmtId="0" fontId="0" fillId="0" borderId="27" xfId="0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0" fillId="0" borderId="27" xfId="0" applyNumberFormat="1" applyBorder="1"/>
    <xf numFmtId="0" fontId="24" fillId="0" borderId="15" xfId="1" applyFont="1" applyBorder="1" applyAlignment="1">
      <alignment horizontal="center" vertical="center"/>
    </xf>
    <xf numFmtId="0" fontId="24" fillId="0" borderId="21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24" fillId="0" borderId="0" xfId="1" applyFont="1" applyAlignment="1">
      <alignment horizontal="center" vertical="center"/>
    </xf>
    <xf numFmtId="1" fontId="0" fillId="0" borderId="27" xfId="0" applyNumberFormat="1" applyBorder="1" applyAlignment="1">
      <alignment horizontal="center"/>
    </xf>
    <xf numFmtId="0" fontId="6" fillId="0" borderId="16" xfId="1" applyFont="1" applyBorder="1" applyAlignment="1">
      <alignment horizontal="left" vertical="center" wrapText="1"/>
    </xf>
    <xf numFmtId="0" fontId="6" fillId="3" borderId="16" xfId="1" applyFont="1" applyFill="1" applyBorder="1" applyAlignment="1">
      <alignment horizontal="center" vertical="center" wrapText="1"/>
    </xf>
    <xf numFmtId="1" fontId="6" fillId="2" borderId="15" xfId="1" applyNumberFormat="1" applyFont="1" applyFill="1" applyBorder="1" applyAlignment="1">
      <alignment horizontal="center" vertical="center"/>
    </xf>
    <xf numFmtId="1" fontId="6" fillId="4" borderId="15" xfId="1" applyNumberFormat="1" applyFont="1" applyFill="1" applyBorder="1" applyAlignment="1">
      <alignment horizontal="center" vertical="center"/>
    </xf>
    <xf numFmtId="1" fontId="6" fillId="4" borderId="2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1" fontId="6" fillId="2" borderId="0" xfId="1" applyNumberFormat="1" applyFont="1" applyFill="1" applyAlignment="1">
      <alignment horizontal="center" vertical="center"/>
    </xf>
    <xf numFmtId="1" fontId="6" fillId="4" borderId="0" xfId="1" applyNumberFormat="1" applyFont="1" applyFill="1" applyAlignment="1">
      <alignment horizontal="center" vertical="center"/>
    </xf>
    <xf numFmtId="1" fontId="25" fillId="4" borderId="0" xfId="1" applyNumberFormat="1" applyFont="1" applyFill="1" applyAlignment="1">
      <alignment horizontal="center" vertical="center"/>
    </xf>
    <xf numFmtId="0" fontId="6" fillId="0" borderId="20" xfId="1" applyFont="1" applyBorder="1" applyAlignment="1">
      <alignment horizontal="left" vertical="center" wrapText="1"/>
    </xf>
    <xf numFmtId="0" fontId="6" fillId="3" borderId="20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vertical="center"/>
    </xf>
    <xf numFmtId="0" fontId="6" fillId="2" borderId="15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left" vertical="center"/>
    </xf>
    <xf numFmtId="2" fontId="6" fillId="5" borderId="15" xfId="1" applyNumberFormat="1" applyFont="1" applyFill="1" applyBorder="1" applyAlignment="1">
      <alignment horizontal="center" vertical="center"/>
    </xf>
    <xf numFmtId="2" fontId="6" fillId="5" borderId="21" xfId="1" applyNumberFormat="1" applyFont="1" applyFill="1" applyBorder="1" applyAlignment="1">
      <alignment horizontal="center" vertical="center"/>
    </xf>
    <xf numFmtId="1" fontId="14" fillId="2" borderId="15" xfId="1" applyNumberFormat="1" applyFont="1" applyFill="1" applyBorder="1" applyAlignment="1">
      <alignment horizontal="center" vertical="center"/>
    </xf>
    <xf numFmtId="165" fontId="1" fillId="0" borderId="0" xfId="1" applyNumberFormat="1"/>
    <xf numFmtId="2" fontId="14" fillId="2" borderId="15" xfId="1" applyNumberFormat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2" fontId="11" fillId="0" borderId="15" xfId="1" applyNumberFormat="1" applyFont="1" applyBorder="1" applyAlignment="1">
      <alignment horizontal="center" vertical="center"/>
    </xf>
    <xf numFmtId="2" fontId="11" fillId="0" borderId="21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14" fillId="2" borderId="15" xfId="1" applyFont="1" applyFill="1" applyBorder="1" applyAlignment="1">
      <alignment horizontal="left" vertical="center"/>
    </xf>
    <xf numFmtId="1" fontId="11" fillId="0" borderId="15" xfId="1" applyNumberFormat="1" applyFont="1" applyBorder="1" applyAlignment="1">
      <alignment horizontal="center" vertical="center"/>
    </xf>
    <xf numFmtId="1" fontId="11" fillId="0" borderId="21" xfId="1" applyNumberFormat="1" applyFont="1" applyBorder="1" applyAlignment="1">
      <alignment horizontal="center" vertical="center"/>
    </xf>
    <xf numFmtId="0" fontId="15" fillId="2" borderId="27" xfId="1" applyFont="1" applyFill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 wrapText="1" shrinkToFit="1"/>
    </xf>
    <xf numFmtId="0" fontId="6" fillId="0" borderId="14" xfId="1" applyFont="1" applyBorder="1" applyAlignment="1">
      <alignment horizontal="left" vertic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21" xfId="1" applyNumberFormat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26" fillId="0" borderId="15" xfId="1" applyFont="1" applyBorder="1" applyAlignment="1">
      <alignment horizontal="center"/>
    </xf>
    <xf numFmtId="0" fontId="26" fillId="0" borderId="21" xfId="1" applyFont="1" applyBorder="1" applyAlignment="1">
      <alignment horizontal="center"/>
    </xf>
    <xf numFmtId="0" fontId="6" fillId="0" borderId="14" xfId="1" applyFont="1" applyBorder="1" applyAlignment="1">
      <alignment horizontal="centerContinuous" vertical="center"/>
    </xf>
    <xf numFmtId="0" fontId="27" fillId="0" borderId="0" xfId="1" applyFont="1"/>
    <xf numFmtId="1" fontId="11" fillId="0" borderId="15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" fillId="6" borderId="0" xfId="1" applyFill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2" fontId="11" fillId="0" borderId="15" xfId="1" applyNumberFormat="1" applyFont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0" xfId="1" applyAlignment="1">
      <alignment vertical="center"/>
    </xf>
    <xf numFmtId="1" fontId="28" fillId="0" borderId="0" xfId="1" applyNumberFormat="1" applyFont="1"/>
    <xf numFmtId="166" fontId="25" fillId="0" borderId="15" xfId="1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9" fillId="0" borderId="27" xfId="1" applyFont="1" applyBorder="1"/>
    <xf numFmtId="1" fontId="29" fillId="0" borderId="27" xfId="1" applyNumberFormat="1" applyFont="1" applyBorder="1"/>
    <xf numFmtId="1" fontId="29" fillId="0" borderId="0" xfId="1" applyNumberFormat="1" applyFont="1"/>
    <xf numFmtId="1" fontId="30" fillId="0" borderId="15" xfId="1" applyNumberFormat="1" applyFont="1" applyBorder="1" applyAlignment="1">
      <alignment horizontal="center" vertical="center"/>
    </xf>
    <xf numFmtId="2" fontId="25" fillId="0" borderId="15" xfId="1" applyNumberFormat="1" applyFont="1" applyBorder="1" applyAlignment="1">
      <alignment horizontal="center" vertical="center"/>
    </xf>
    <xf numFmtId="2" fontId="11" fillId="6" borderId="15" xfId="1" applyNumberFormat="1" applyFont="1" applyFill="1" applyBorder="1" applyAlignment="1">
      <alignment horizontal="center" vertical="center"/>
    </xf>
    <xf numFmtId="166" fontId="25" fillId="6" borderId="15" xfId="1" applyNumberFormat="1" applyFont="1" applyFill="1" applyBorder="1" applyAlignment="1">
      <alignment horizontal="center" vertical="center"/>
    </xf>
    <xf numFmtId="166" fontId="11" fillId="6" borderId="15" xfId="1" applyNumberFormat="1" applyFont="1" applyFill="1" applyBorder="1" applyAlignment="1">
      <alignment horizontal="center" vertical="center"/>
    </xf>
    <xf numFmtId="1" fontId="6" fillId="0" borderId="15" xfId="1" applyNumberFormat="1" applyFont="1" applyBorder="1" applyAlignment="1">
      <alignment horizontal="center" vertical="center"/>
    </xf>
    <xf numFmtId="166" fontId="6" fillId="0" borderId="15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0" fontId="14" fillId="7" borderId="15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1" fontId="6" fillId="0" borderId="30" xfId="1" applyNumberFormat="1" applyFont="1" applyBorder="1" applyAlignment="1">
      <alignment horizontal="center" vertical="center" wrapText="1"/>
    </xf>
    <xf numFmtId="1" fontId="6" fillId="0" borderId="31" xfId="1" applyNumberFormat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1" fontId="6" fillId="0" borderId="15" xfId="1" applyNumberFormat="1" applyFont="1" applyBorder="1" applyAlignment="1">
      <alignment horizontal="center" vertical="center" wrapText="1"/>
    </xf>
    <xf numFmtId="1" fontId="6" fillId="0" borderId="32" xfId="1" applyNumberFormat="1" applyFont="1" applyBorder="1" applyAlignment="1">
      <alignment horizontal="center" vertical="center" wrapText="1"/>
    </xf>
    <xf numFmtId="1" fontId="6" fillId="0" borderId="5" xfId="1" applyNumberFormat="1" applyFont="1" applyBorder="1" applyAlignment="1">
      <alignment horizontal="center" vertical="center" wrapText="1"/>
    </xf>
    <xf numFmtId="0" fontId="6" fillId="0" borderId="14" xfId="1" applyFont="1" applyBorder="1" applyAlignment="1">
      <alignment vertical="center"/>
    </xf>
    <xf numFmtId="0" fontId="14" fillId="7" borderId="15" xfId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1" fontId="6" fillId="0" borderId="33" xfId="1" applyNumberFormat="1" applyFont="1" applyBorder="1" applyAlignment="1">
      <alignment horizontal="center" vertical="center" wrapText="1"/>
    </xf>
    <xf numFmtId="1" fontId="6" fillId="0" borderId="34" xfId="1" applyNumberFormat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/>
    </xf>
    <xf numFmtId="166" fontId="11" fillId="0" borderId="15" xfId="1" applyNumberFormat="1" applyFont="1" applyBorder="1" applyAlignment="1">
      <alignment horizontal="center" vertical="center"/>
    </xf>
    <xf numFmtId="166" fontId="11" fillId="0" borderId="21" xfId="1" applyNumberFormat="1" applyFont="1" applyBorder="1" applyAlignment="1">
      <alignment horizontal="center" vertical="center"/>
    </xf>
    <xf numFmtId="2" fontId="27" fillId="0" borderId="0" xfId="1" applyNumberFormat="1" applyFont="1" applyAlignment="1">
      <alignment horizontal="center"/>
    </xf>
    <xf numFmtId="166" fontId="11" fillId="0" borderId="17" xfId="1" applyNumberFormat="1" applyFont="1" applyBorder="1" applyAlignment="1">
      <alignment horizontal="center" vertical="center"/>
    </xf>
    <xf numFmtId="166" fontId="11" fillId="0" borderId="19" xfId="1" applyNumberFormat="1" applyFont="1" applyBorder="1" applyAlignment="1">
      <alignment horizontal="center" vertical="center"/>
    </xf>
    <xf numFmtId="166" fontId="11" fillId="0" borderId="15" xfId="1" applyNumberFormat="1" applyFont="1" applyBorder="1" applyAlignment="1">
      <alignment horizontal="center" vertical="center"/>
    </xf>
    <xf numFmtId="166" fontId="11" fillId="0" borderId="21" xfId="1" applyNumberFormat="1" applyFont="1" applyBorder="1" applyAlignment="1">
      <alignment horizontal="center" vertical="center"/>
    </xf>
    <xf numFmtId="164" fontId="25" fillId="0" borderId="15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1" fontId="11" fillId="6" borderId="15" xfId="1" applyNumberFormat="1" applyFont="1" applyFill="1" applyBorder="1" applyAlignment="1">
      <alignment horizontal="center" vertical="center"/>
    </xf>
    <xf numFmtId="166" fontId="11" fillId="6" borderId="15" xfId="1" applyNumberFormat="1" applyFont="1" applyFill="1" applyBorder="1" applyAlignment="1">
      <alignment horizontal="center" vertical="center"/>
    </xf>
    <xf numFmtId="164" fontId="25" fillId="6" borderId="15" xfId="1" applyNumberFormat="1" applyFont="1" applyFill="1" applyBorder="1" applyAlignment="1">
      <alignment horizontal="center" vertical="center"/>
    </xf>
    <xf numFmtId="0" fontId="25" fillId="6" borderId="15" xfId="1" applyFont="1" applyFill="1" applyBorder="1" applyAlignment="1">
      <alignment horizontal="center" vertical="center"/>
    </xf>
    <xf numFmtId="2" fontId="11" fillId="6" borderId="15" xfId="1" applyNumberFormat="1" applyFont="1" applyFill="1" applyBorder="1" applyAlignment="1">
      <alignment horizontal="center" vertical="center"/>
    </xf>
    <xf numFmtId="166" fontId="11" fillId="6" borderId="17" xfId="1" applyNumberFormat="1" applyFont="1" applyFill="1" applyBorder="1" applyAlignment="1">
      <alignment horizontal="center" vertical="center"/>
    </xf>
    <xf numFmtId="166" fontId="11" fillId="6" borderId="19" xfId="1" applyNumberFormat="1" applyFont="1" applyFill="1" applyBorder="1" applyAlignment="1">
      <alignment horizontal="center" vertical="center"/>
    </xf>
    <xf numFmtId="2" fontId="11" fillId="0" borderId="15" xfId="2" applyNumberFormat="1" applyFont="1" applyBorder="1" applyAlignment="1">
      <alignment horizontal="center" vertical="center"/>
    </xf>
    <xf numFmtId="0" fontId="11" fillId="0" borderId="15" xfId="2" applyNumberFormat="1" applyFont="1" applyBorder="1" applyAlignment="1">
      <alignment horizontal="center" vertical="center"/>
    </xf>
    <xf numFmtId="1" fontId="30" fillId="0" borderId="15" xfId="1" applyNumberFormat="1" applyFont="1" applyBorder="1" applyAlignment="1">
      <alignment horizontal="center" vertical="center"/>
    </xf>
    <xf numFmtId="0" fontId="30" fillId="0" borderId="15" xfId="1" applyFont="1" applyBorder="1" applyAlignment="1">
      <alignment horizontal="center" vertical="center"/>
    </xf>
    <xf numFmtId="2" fontId="30" fillId="0" borderId="15" xfId="1" applyNumberFormat="1" applyFont="1" applyBorder="1" applyAlignment="1">
      <alignment horizontal="center" vertical="center"/>
    </xf>
    <xf numFmtId="1" fontId="6" fillId="0" borderId="14" xfId="1" applyNumberFormat="1" applyFont="1" applyBorder="1" applyAlignment="1">
      <alignment vertical="center"/>
    </xf>
    <xf numFmtId="166" fontId="6" fillId="5" borderId="17" xfId="1" applyNumberFormat="1" applyFont="1" applyFill="1" applyBorder="1" applyAlignment="1">
      <alignment horizontal="center" vertical="center"/>
    </xf>
    <xf numFmtId="166" fontId="6" fillId="5" borderId="29" xfId="1" applyNumberFormat="1" applyFont="1" applyFill="1" applyBorder="1" applyAlignment="1">
      <alignment horizontal="center" vertical="center"/>
    </xf>
    <xf numFmtId="166" fontId="6" fillId="5" borderId="18" xfId="1" applyNumberFormat="1" applyFont="1" applyFill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1" fontId="6" fillId="0" borderId="18" xfId="1" applyNumberFormat="1" applyFont="1" applyBorder="1" applyAlignment="1">
      <alignment horizontal="center" vertical="center"/>
    </xf>
    <xf numFmtId="1" fontId="6" fillId="0" borderId="29" xfId="1" applyNumberFormat="1" applyFont="1" applyBorder="1" applyAlignment="1">
      <alignment horizontal="center" vertical="center"/>
    </xf>
    <xf numFmtId="0" fontId="11" fillId="0" borderId="17" xfId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0" fontId="11" fillId="0" borderId="29" xfId="1" applyFont="1" applyBorder="1" applyAlignment="1">
      <alignment horizontal="center"/>
    </xf>
    <xf numFmtId="166" fontId="6" fillId="5" borderId="15" xfId="1" applyNumberFormat="1" applyFont="1" applyFill="1" applyBorder="1" applyAlignment="1">
      <alignment horizontal="center" vertical="center"/>
    </xf>
    <xf numFmtId="166" fontId="6" fillId="5" borderId="21" xfId="1" applyNumberFormat="1" applyFont="1" applyFill="1" applyBorder="1" applyAlignment="1">
      <alignment horizontal="center" vertical="center"/>
    </xf>
    <xf numFmtId="0" fontId="6" fillId="0" borderId="35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/>
    </xf>
    <xf numFmtId="0" fontId="31" fillId="0" borderId="36" xfId="1" applyFont="1" applyBorder="1" applyAlignment="1">
      <alignment horizontal="left" vertical="center"/>
    </xf>
    <xf numFmtId="0" fontId="14" fillId="5" borderId="36" xfId="1" applyFont="1" applyFill="1" applyBorder="1" applyAlignment="1">
      <alignment horizontal="center" vertical="center"/>
    </xf>
    <xf numFmtId="0" fontId="31" fillId="0" borderId="36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1" fillId="0" borderId="36" xfId="1" applyBorder="1"/>
    <xf numFmtId="0" fontId="31" fillId="0" borderId="36" xfId="1" applyFont="1" applyBorder="1" applyAlignment="1">
      <alignment horizontal="center" vertical="center" wrapText="1"/>
    </xf>
    <xf numFmtId="1" fontId="12" fillId="0" borderId="37" xfId="1" applyNumberFormat="1" applyFont="1" applyBorder="1" applyAlignment="1">
      <alignment horizontal="center" vertical="center" wrapText="1"/>
    </xf>
    <xf numFmtId="0" fontId="1" fillId="0" borderId="10" xfId="1" applyBorder="1"/>
    <xf numFmtId="0" fontId="6" fillId="0" borderId="10" xfId="1" applyFont="1" applyBorder="1" applyAlignment="1">
      <alignment horizontal="center" vertical="center" wrapText="1"/>
    </xf>
    <xf numFmtId="1" fontId="6" fillId="0" borderId="10" xfId="1" applyNumberFormat="1" applyFont="1" applyBorder="1" applyAlignment="1">
      <alignment horizontal="center" vertical="center" wrapText="1"/>
    </xf>
    <xf numFmtId="0" fontId="1" fillId="0" borderId="38" xfId="1" applyBorder="1" applyAlignment="1">
      <alignment horizontal="left" vertical="center" wrapText="1"/>
    </xf>
    <xf numFmtId="0" fontId="6" fillId="0" borderId="38" xfId="1" applyFont="1" applyBorder="1" applyAlignment="1">
      <alignment horizontal="center" vertical="center"/>
    </xf>
    <xf numFmtId="2" fontId="11" fillId="0" borderId="38" xfId="1" applyNumberFormat="1" applyFont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2" fontId="11" fillId="0" borderId="0" xfId="1" applyNumberFormat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" fontId="11" fillId="0" borderId="0" xfId="1" applyNumberFormat="1" applyFont="1" applyAlignment="1">
      <alignment horizontal="center" vertical="center"/>
    </xf>
    <xf numFmtId="2" fontId="14" fillId="0" borderId="0" xfId="1" applyNumberFormat="1" applyFont="1" applyAlignment="1">
      <alignment horizontal="center" vertical="center"/>
    </xf>
    <xf numFmtId="2" fontId="11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6" fillId="0" borderId="0" xfId="1" applyFont="1" applyAlignment="1">
      <alignment horizontal="left" vertical="justify"/>
    </xf>
    <xf numFmtId="166" fontId="11" fillId="0" borderId="0" xfId="1" applyNumberFormat="1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1" fontId="6" fillId="0" borderId="0" xfId="1" applyNumberFormat="1" applyFont="1" applyAlignment="1">
      <alignment horizontal="right" vertical="center"/>
    </xf>
    <xf numFmtId="164" fontId="6" fillId="0" borderId="0" xfId="1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1" fillId="0" borderId="0" xfId="1" applyNumberFormat="1" applyAlignment="1">
      <alignment horizontal="center"/>
    </xf>
    <xf numFmtId="0" fontId="33" fillId="0" borderId="0" xfId="1" applyFont="1" applyAlignment="1">
      <alignment vertical="center"/>
    </xf>
    <xf numFmtId="0" fontId="33" fillId="0" borderId="0" xfId="1" applyFont="1" applyAlignment="1">
      <alignment horizontal="center" vertical="center"/>
    </xf>
    <xf numFmtId="2" fontId="33" fillId="0" borderId="0" xfId="1" applyNumberFormat="1" applyFont="1" applyAlignment="1">
      <alignment vertical="center"/>
    </xf>
    <xf numFmtId="1" fontId="1" fillId="0" borderId="0" xfId="1" applyNumberFormat="1"/>
    <xf numFmtId="0" fontId="34" fillId="0" borderId="0" xfId="1" applyFont="1"/>
    <xf numFmtId="0" fontId="31" fillId="5" borderId="0" xfId="1" applyFont="1" applyFill="1" applyAlignment="1">
      <alignment vertical="center"/>
    </xf>
    <xf numFmtId="1" fontId="31" fillId="5" borderId="0" xfId="1" applyNumberFormat="1" applyFont="1" applyFill="1" applyAlignment="1">
      <alignment vertical="center"/>
    </xf>
  </cellXfs>
  <cellStyles count="3">
    <cellStyle name="Normal" xfId="0" builtinId="0"/>
    <cellStyle name="Normal 2" xfId="1" xr:uid="{15D2C9C2-2A4B-4165-BA76-2DBB14E2BA82}"/>
    <cellStyle name="Virgül 2" xfId="2" xr:uid="{F0B379F1-3D13-4657-90F2-96FD9DAE7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tr-T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Gradasyon</a:t>
            </a:r>
            <a:r>
              <a:rPr lang="tr-TR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tr-T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                              </a:t>
            </a:r>
          </a:p>
        </c:rich>
      </c:tx>
      <c:layout>
        <c:manualLayout>
          <c:xMode val="edge"/>
          <c:yMode val="edge"/>
          <c:x val="0.39785021495968942"/>
          <c:y val="4.5161269067308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9822450826142E-2"/>
          <c:y val="0.14408632410602346"/>
          <c:w val="0.73476831101644935"/>
          <c:h val="0.647313187401687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'[1]19.12.2025 (3)'!$AZ$34</c:f>
              <c:strCache>
                <c:ptCount val="1"/>
                <c:pt idx="0">
                  <c:v>Lower Limit / Alt Limit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'[1]19.12.2025 (3)'!$AY$35:$AY$46</c:f>
              <c:numCache>
                <c:formatCode>General</c:formatCode>
                <c:ptCount val="12"/>
                <c:pt idx="0">
                  <c:v>31.5</c:v>
                </c:pt>
                <c:pt idx="1">
                  <c:v>22.4</c:v>
                </c:pt>
                <c:pt idx="2">
                  <c:v>16</c:v>
                </c:pt>
                <c:pt idx="3">
                  <c:v>11.2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0.15</c:v>
                </c:pt>
                <c:pt idx="11">
                  <c:v>6.3E-2</c:v>
                </c:pt>
              </c:numCache>
            </c:numRef>
          </c:xVal>
          <c:yVal>
            <c:numRef>
              <c:f>'[1]19.12.2025 (3)'!$AZ$35:$AZ$46</c:f>
              <c:numCache>
                <c:formatCode>General</c:formatCode>
                <c:ptCount val="12"/>
                <c:pt idx="0">
                  <c:v>100</c:v>
                </c:pt>
                <c:pt idx="1">
                  <c:v>98</c:v>
                </c:pt>
                <c:pt idx="2">
                  <c:v>85</c:v>
                </c:pt>
                <c:pt idx="3">
                  <c:v>68</c:v>
                </c:pt>
                <c:pt idx="4">
                  <c:v>48</c:v>
                </c:pt>
                <c:pt idx="5">
                  <c:v>33</c:v>
                </c:pt>
                <c:pt idx="6">
                  <c:v>22</c:v>
                </c:pt>
                <c:pt idx="7">
                  <c:v>15</c:v>
                </c:pt>
                <c:pt idx="8">
                  <c:v>10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5-486A-9267-8A495817FB06}"/>
            </c:ext>
          </c:extLst>
        </c:ser>
        <c:ser>
          <c:idx val="1"/>
          <c:order val="1"/>
          <c:tx>
            <c:strRef>
              <c:f>'[1]19.12.2025 (3)'!$BA$34</c:f>
              <c:strCache>
                <c:ptCount val="1"/>
                <c:pt idx="0">
                  <c:v>Upper Limit / Üst Limit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'[1]19.12.2025 (3)'!$AY$35:$AY$46</c:f>
              <c:numCache>
                <c:formatCode>General</c:formatCode>
                <c:ptCount val="12"/>
                <c:pt idx="0">
                  <c:v>31.5</c:v>
                </c:pt>
                <c:pt idx="1">
                  <c:v>22.4</c:v>
                </c:pt>
                <c:pt idx="2">
                  <c:v>16</c:v>
                </c:pt>
                <c:pt idx="3">
                  <c:v>11.2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0.15</c:v>
                </c:pt>
                <c:pt idx="11">
                  <c:v>6.3E-2</c:v>
                </c:pt>
              </c:numCache>
            </c:numRef>
          </c:xVal>
          <c:yVal>
            <c:numRef>
              <c:f>'[1]19.12.2025 (3)'!$BA$35:$BA$46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90</c:v>
                </c:pt>
                <c:pt idx="4">
                  <c:v>77</c:v>
                </c:pt>
                <c:pt idx="5">
                  <c:v>64</c:v>
                </c:pt>
                <c:pt idx="6">
                  <c:v>52</c:v>
                </c:pt>
                <c:pt idx="7">
                  <c:v>41</c:v>
                </c:pt>
                <c:pt idx="8">
                  <c:v>30</c:v>
                </c:pt>
                <c:pt idx="9">
                  <c:v>20</c:v>
                </c:pt>
                <c:pt idx="10">
                  <c:v>11</c:v>
                </c:pt>
                <c:pt idx="1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85-486A-9267-8A495817FB06}"/>
            </c:ext>
          </c:extLst>
        </c:ser>
        <c:ser>
          <c:idx val="2"/>
          <c:order val="2"/>
          <c:tx>
            <c:v>Gradation / Gradasyon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'[1]19.12.2025 (3)'!$AY$35:$AY$46</c:f>
              <c:numCache>
                <c:formatCode>General</c:formatCode>
                <c:ptCount val="12"/>
                <c:pt idx="0">
                  <c:v>31.5</c:v>
                </c:pt>
                <c:pt idx="1">
                  <c:v>22.4</c:v>
                </c:pt>
                <c:pt idx="2">
                  <c:v>16</c:v>
                </c:pt>
                <c:pt idx="3">
                  <c:v>11.2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0.15</c:v>
                </c:pt>
                <c:pt idx="11">
                  <c:v>6.3E-2</c:v>
                </c:pt>
              </c:numCache>
            </c:numRef>
          </c:xVal>
          <c:yVal>
            <c:numRef>
              <c:f>'[1]19.12.2025 (3)'!$BC$35:$BC$46</c:f>
              <c:numCache>
                <c:formatCode>0</c:formatCode>
                <c:ptCount val="12"/>
                <c:pt idx="0">
                  <c:v>100</c:v>
                </c:pt>
                <c:pt idx="1">
                  <c:v>99.31</c:v>
                </c:pt>
                <c:pt idx="2">
                  <c:v>84.22</c:v>
                </c:pt>
                <c:pt idx="3">
                  <c:v>68.650000000000006</c:v>
                </c:pt>
                <c:pt idx="4">
                  <c:v>61.65</c:v>
                </c:pt>
                <c:pt idx="5">
                  <c:v>45.95</c:v>
                </c:pt>
                <c:pt idx="6">
                  <c:v>30.36</c:v>
                </c:pt>
                <c:pt idx="7">
                  <c:v>20.04</c:v>
                </c:pt>
                <c:pt idx="8">
                  <c:v>13.79</c:v>
                </c:pt>
                <c:pt idx="9">
                  <c:v>9.32</c:v>
                </c:pt>
                <c:pt idx="10">
                  <c:v>5.91</c:v>
                </c:pt>
                <c:pt idx="11">
                  <c:v>5.91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85-486A-9267-8A495817FB06}"/>
            </c:ext>
          </c:extLst>
        </c:ser>
        <c:ser>
          <c:idx val="3"/>
          <c:order val="3"/>
          <c:tx>
            <c:v>Specification / Şartname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'[1]19.12.2025 (3)'!$AY$35:$AY$46</c:f>
              <c:numCache>
                <c:formatCode>General</c:formatCode>
                <c:ptCount val="12"/>
                <c:pt idx="0">
                  <c:v>31.5</c:v>
                </c:pt>
                <c:pt idx="1">
                  <c:v>22.4</c:v>
                </c:pt>
                <c:pt idx="2">
                  <c:v>16</c:v>
                </c:pt>
                <c:pt idx="3">
                  <c:v>11.2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0.15</c:v>
                </c:pt>
                <c:pt idx="11">
                  <c:v>6.3E-2</c:v>
                </c:pt>
              </c:numCache>
            </c:numRef>
          </c:xVal>
          <c:yVal>
            <c:numRef>
              <c:f>'[1]19.12.2025 (3)'!$BB$35:$BB$46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92</c:v>
                </c:pt>
                <c:pt idx="3">
                  <c:v>79</c:v>
                </c:pt>
                <c:pt idx="4">
                  <c:v>63</c:v>
                </c:pt>
                <c:pt idx="5">
                  <c:v>49</c:v>
                </c:pt>
                <c:pt idx="6">
                  <c:v>37</c:v>
                </c:pt>
                <c:pt idx="7">
                  <c:v>28</c:v>
                </c:pt>
                <c:pt idx="8">
                  <c:v>20</c:v>
                </c:pt>
                <c:pt idx="9">
                  <c:v>13</c:v>
                </c:pt>
                <c:pt idx="10">
                  <c:v>7</c:v>
                </c:pt>
                <c:pt idx="1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85-486A-9267-8A495817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915584"/>
        <c:axId val="244942720"/>
      </c:scatterChart>
      <c:valAx>
        <c:axId val="244915584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tr-TR"/>
                  <a:t>Elek Açıklıkları (mm)</a:t>
                </a:r>
              </a:p>
            </c:rich>
          </c:tx>
          <c:layout>
            <c:manualLayout>
              <c:xMode val="edge"/>
              <c:yMode val="edge"/>
              <c:x val="0.34050235656026867"/>
              <c:y val="0.832259963320484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r-TR"/>
          </a:p>
        </c:txPr>
        <c:crossAx val="244942720"/>
        <c:crosses val="autoZero"/>
        <c:crossBetween val="midCat"/>
      </c:valAx>
      <c:valAx>
        <c:axId val="244942720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tr-TR"/>
                  <a:t>Ağırlıkça % Gecen Miktar </a:t>
                </a:r>
              </a:p>
            </c:rich>
          </c:tx>
          <c:layout>
            <c:manualLayout>
              <c:xMode val="edge"/>
              <c:yMode val="edge"/>
              <c:x val="0.8924746234677654"/>
              <c:y val="0.316129762022425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r-TR"/>
          </a:p>
        </c:txPr>
        <c:crossAx val="244915584"/>
        <c:crosses val="max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534163068326171"/>
          <c:y val="0.44731262148716777"/>
          <c:w val="0.28494680100471337"/>
          <c:h val="0.17204340043268657"/>
        </c:manualLayout>
      </c:layout>
      <c:overlay val="0"/>
      <c:spPr>
        <a:solidFill>
          <a:srgbClr val="FFFFFF"/>
        </a:solidFill>
        <a:ln w="3175">
          <a:solidFill>
            <a:srgbClr val="FFFFFF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r-TR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r>
              <a:rPr lang="tr-TR" sz="1400" baseline="0"/>
              <a:t>Dmax:22,4 mm Gradasyon Eğrisi</a:t>
            </a:r>
          </a:p>
        </c:rich>
      </c:tx>
      <c:layout>
        <c:manualLayout>
          <c:xMode val="edge"/>
          <c:yMode val="edge"/>
          <c:x val="0.31278674081823687"/>
          <c:y val="3.68680423567743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18336839914011"/>
          <c:y val="0.12379101386949452"/>
          <c:w val="0.70983350710812099"/>
          <c:h val="0.7020829494725400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33339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cat>
            <c:numRef>
              <c:f>'[1]19.12.2025 (3)'!$AR$14:$AR$26</c:f>
              <c:numCache>
                <c:formatCode>General</c:formatCode>
                <c:ptCount val="13"/>
                <c:pt idx="0">
                  <c:v>6.3E-2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11.2</c:v>
                </c:pt>
                <c:pt idx="9">
                  <c:v>16</c:v>
                </c:pt>
                <c:pt idx="10">
                  <c:v>22.4</c:v>
                </c:pt>
                <c:pt idx="11">
                  <c:v>31.5</c:v>
                </c:pt>
                <c:pt idx="12">
                  <c:v>40</c:v>
                </c:pt>
              </c:numCache>
            </c:numRef>
          </c:cat>
          <c:val>
            <c:numRef>
              <c:f>'[1]19.12.2025 (3)'!$AS$14:$AS$26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20</c:v>
                </c:pt>
                <c:pt idx="6">
                  <c:v>29</c:v>
                </c:pt>
                <c:pt idx="7">
                  <c:v>41</c:v>
                </c:pt>
                <c:pt idx="8">
                  <c:v>57</c:v>
                </c:pt>
                <c:pt idx="9">
                  <c:v>72</c:v>
                </c:pt>
                <c:pt idx="10">
                  <c:v>86</c:v>
                </c:pt>
                <c:pt idx="11">
                  <c:v>94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9-4EEF-866A-1E9D610529C8}"/>
            </c:ext>
          </c:extLst>
        </c:ser>
        <c:ser>
          <c:idx val="1"/>
          <c:order val="1"/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'[1]19.12.2025 (3)'!$AR$14:$AR$26</c:f>
              <c:numCache>
                <c:formatCode>General</c:formatCode>
                <c:ptCount val="13"/>
                <c:pt idx="0">
                  <c:v>6.3E-2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11.2</c:v>
                </c:pt>
                <c:pt idx="9">
                  <c:v>16</c:v>
                </c:pt>
                <c:pt idx="10">
                  <c:v>22.4</c:v>
                </c:pt>
                <c:pt idx="11">
                  <c:v>31.5</c:v>
                </c:pt>
                <c:pt idx="12">
                  <c:v>40</c:v>
                </c:pt>
              </c:numCache>
            </c:numRef>
          </c:cat>
          <c:val>
            <c:numRef>
              <c:f>'[1]19.12.2025 (3)'!$AT$14:$AT$26</c:f>
              <c:numCache>
                <c:formatCode>General</c:formatCode>
                <c:ptCount val="13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35</c:v>
                </c:pt>
                <c:pt idx="6">
                  <c:v>45</c:v>
                </c:pt>
                <c:pt idx="7">
                  <c:v>56</c:v>
                </c:pt>
                <c:pt idx="8">
                  <c:v>70</c:v>
                </c:pt>
                <c:pt idx="9">
                  <c:v>82</c:v>
                </c:pt>
                <c:pt idx="10">
                  <c:v>91</c:v>
                </c:pt>
                <c:pt idx="11">
                  <c:v>96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9-4EEF-866A-1E9D610529C8}"/>
            </c:ext>
          </c:extLst>
        </c:ser>
        <c:ser>
          <c:idx val="2"/>
          <c:order val="2"/>
          <c:spPr>
            <a:ln w="25400">
              <a:solidFill>
                <a:srgbClr val="33339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cat>
            <c:numRef>
              <c:f>'[1]19.12.2025 (3)'!$AR$14:$AR$26</c:f>
              <c:numCache>
                <c:formatCode>General</c:formatCode>
                <c:ptCount val="13"/>
                <c:pt idx="0">
                  <c:v>6.3E-2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11.2</c:v>
                </c:pt>
                <c:pt idx="9">
                  <c:v>16</c:v>
                </c:pt>
                <c:pt idx="10">
                  <c:v>22.4</c:v>
                </c:pt>
                <c:pt idx="11">
                  <c:v>31.5</c:v>
                </c:pt>
                <c:pt idx="12">
                  <c:v>40</c:v>
                </c:pt>
              </c:numCache>
            </c:numRef>
          </c:cat>
          <c:val>
            <c:numRef>
              <c:f>'[1]19.12.2025 (3)'!$AU$14:$AU$26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48</c:v>
                </c:pt>
                <c:pt idx="6">
                  <c:v>59</c:v>
                </c:pt>
                <c:pt idx="7">
                  <c:v>71</c:v>
                </c:pt>
                <c:pt idx="8">
                  <c:v>82</c:v>
                </c:pt>
                <c:pt idx="9">
                  <c:v>91</c:v>
                </c:pt>
                <c:pt idx="10">
                  <c:v>96</c:v>
                </c:pt>
                <c:pt idx="11">
                  <c:v>98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9-4EEF-866A-1E9D610529C8}"/>
            </c:ext>
          </c:extLst>
        </c:ser>
        <c:ser>
          <c:idx val="3"/>
          <c:order val="3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'[1]19.12.2025 (3)'!$AR$14:$AR$26</c:f>
              <c:numCache>
                <c:formatCode>General</c:formatCode>
                <c:ptCount val="13"/>
                <c:pt idx="0">
                  <c:v>6.3E-2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11.2</c:v>
                </c:pt>
                <c:pt idx="9">
                  <c:v>16</c:v>
                </c:pt>
                <c:pt idx="10">
                  <c:v>22.4</c:v>
                </c:pt>
                <c:pt idx="11">
                  <c:v>31.5</c:v>
                </c:pt>
                <c:pt idx="12">
                  <c:v>40</c:v>
                </c:pt>
              </c:numCache>
            </c:numRef>
          </c:cat>
          <c:val>
            <c:numRef>
              <c:f>'[1]19.12.2025 (3)'!$AV$14:$AV$26</c:f>
              <c:numCache>
                <c:formatCode>0</c:formatCode>
                <c:ptCount val="13"/>
                <c:pt idx="0">
                  <c:v>3.62</c:v>
                </c:pt>
                <c:pt idx="1">
                  <c:v>5.91</c:v>
                </c:pt>
                <c:pt idx="2">
                  <c:v>9.32</c:v>
                </c:pt>
                <c:pt idx="3">
                  <c:v>13.79</c:v>
                </c:pt>
                <c:pt idx="4">
                  <c:v>20.04</c:v>
                </c:pt>
                <c:pt idx="5">
                  <c:v>30.36</c:v>
                </c:pt>
                <c:pt idx="6">
                  <c:v>45.95</c:v>
                </c:pt>
                <c:pt idx="7">
                  <c:v>61.65</c:v>
                </c:pt>
                <c:pt idx="8">
                  <c:v>68.650000000000006</c:v>
                </c:pt>
                <c:pt idx="9">
                  <c:v>84.22</c:v>
                </c:pt>
                <c:pt idx="10">
                  <c:v>99.31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9-4EEF-866A-1E9D61052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47744"/>
        <c:axId val="199266688"/>
      </c:lineChart>
      <c:catAx>
        <c:axId val="19924774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Tur"/>
                    <a:ea typeface="Arial Tur"/>
                    <a:cs typeface="Arial Tur"/>
                  </a:defRPr>
                </a:pPr>
                <a:r>
                  <a:rPr lang="tr-TR" sz="1400" baseline="0"/>
                  <a:t>Elek göz açıklığı (mm)</a:t>
                </a:r>
              </a:p>
            </c:rich>
          </c:tx>
          <c:layout>
            <c:manualLayout>
              <c:xMode val="edge"/>
              <c:yMode val="edge"/>
              <c:x val="0.33007918066185804"/>
              <c:y val="0.898596931849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tr-TR"/>
          </a:p>
        </c:txPr>
        <c:crossAx val="19926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926668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Tur"/>
                    <a:ea typeface="Arial Tur"/>
                    <a:cs typeface="Arial Tur"/>
                  </a:defRPr>
                </a:pPr>
                <a:r>
                  <a:rPr lang="tr-TR" sz="1400" baseline="0"/>
                  <a:t>Elekten geçen % (yığışımlı)</a:t>
                </a:r>
              </a:p>
            </c:rich>
          </c:tx>
          <c:layout>
            <c:manualLayout>
              <c:xMode val="edge"/>
              <c:yMode val="edge"/>
              <c:x val="3.0710350017436636E-2"/>
              <c:y val="0.254237940085075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tr-TR"/>
          </a:p>
        </c:txPr>
        <c:crossAx val="199247744"/>
        <c:crosses val="autoZero"/>
        <c:crossBetween val="midCat"/>
        <c:majorUnit val="10"/>
        <c:minorUnit val="5"/>
      </c:valAx>
      <c:spPr>
        <a:solidFill>
          <a:schemeClr val="bg1">
            <a:lumMod val="85000"/>
          </a:schemeClr>
        </a:solidFill>
        <a:ln w="25400" cmpd="tri">
          <a:solidFill>
            <a:schemeClr val="bg1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8870656902152"/>
          <c:y val="0.12611933206625042"/>
          <c:w val="0.15930914230126836"/>
          <c:h val="0.709112363109783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 Tur"/>
              <a:ea typeface="Arial Tur"/>
              <a:cs typeface="Arial Tur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 Tur"/>
          <a:ea typeface="Arial Tur"/>
          <a:cs typeface="Arial Tur"/>
        </a:defRPr>
      </a:pPr>
      <a:endParaRPr lang="tr-TR"/>
    </a:p>
  </c:txPr>
  <c:printSettings>
    <c:headerFooter alignWithMargins="0"/>
    <c:pageMargins b="1" l="0.75000000000000022" r="0.75000000000000022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47625</xdr:colOff>
      <xdr:row>11</xdr:row>
      <xdr:rowOff>9525</xdr:rowOff>
    </xdr:from>
    <xdr:to>
      <xdr:col>53</xdr:col>
      <xdr:colOff>1504950</xdr:colOff>
      <xdr:row>26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43A2C-2285-48D3-B9AE-0AB7A1773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27</xdr:row>
      <xdr:rowOff>0</xdr:rowOff>
    </xdr:from>
    <xdr:to>
      <xdr:col>16</xdr:col>
      <xdr:colOff>590550</xdr:colOff>
      <xdr:row>39</xdr:row>
      <xdr:rowOff>542925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6587418-38EF-4F63-88C5-4768B92D3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281940</xdr:colOff>
      <xdr:row>1</xdr:row>
      <xdr:rowOff>133351</xdr:rowOff>
    </xdr:from>
    <xdr:to>
      <xdr:col>1</xdr:col>
      <xdr:colOff>561875</xdr:colOff>
      <xdr:row>4</xdr:row>
      <xdr:rowOff>586741</xdr:rowOff>
    </xdr:to>
    <xdr:pic>
      <xdr:nvPicPr>
        <xdr:cNvPr id="4" name="3 Resim" descr="Kopyası (2) t 787.png">
          <a:extLst>
            <a:ext uri="{FF2B5EF4-FFF2-40B4-BE49-F238E27FC236}">
              <a16:creationId xmlns:a16="http://schemas.microsoft.com/office/drawing/2014/main" id="{1AB28B17-624C-4B1F-A6E0-4683E90D2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308611"/>
          <a:ext cx="19334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9525</xdr:colOff>
      <xdr:row>2</xdr:row>
      <xdr:rowOff>0</xdr:rowOff>
    </xdr:from>
    <xdr:to>
      <xdr:col>15</xdr:col>
      <xdr:colOff>552450</xdr:colOff>
      <xdr:row>5</xdr:row>
      <xdr:rowOff>1905</xdr:rowOff>
    </xdr:to>
    <xdr:grpSp>
      <xdr:nvGrpSpPr>
        <xdr:cNvPr id="5" name="Grup 4">
          <a:extLst>
            <a:ext uri="{FF2B5EF4-FFF2-40B4-BE49-F238E27FC236}">
              <a16:creationId xmlns:a16="http://schemas.microsoft.com/office/drawing/2014/main" id="{817C74FF-34E4-4806-B307-AADE79C2C2BC}"/>
            </a:ext>
          </a:extLst>
        </xdr:cNvPr>
        <xdr:cNvGrpSpPr/>
      </xdr:nvGrpSpPr>
      <xdr:grpSpPr>
        <a:xfrm>
          <a:off x="10578465" y="487680"/>
          <a:ext cx="1114425" cy="1411605"/>
          <a:chOff x="9867900" y="476250"/>
          <a:chExt cx="1114425" cy="1066800"/>
        </a:xfrm>
      </xdr:grpSpPr>
      <xdr:sp macro="" textlink="">
        <xdr:nvSpPr>
          <xdr:cNvPr id="6" name="Metin kutusu 5">
            <a:extLst>
              <a:ext uri="{FF2B5EF4-FFF2-40B4-BE49-F238E27FC236}">
                <a16:creationId xmlns:a16="http://schemas.microsoft.com/office/drawing/2014/main" id="{A0683D81-AF62-68C5-BDED-61CD0AB0E2D8}"/>
              </a:ext>
            </a:extLst>
          </xdr:cNvPr>
          <xdr:cNvSpPr txBox="1"/>
        </xdr:nvSpPr>
        <xdr:spPr>
          <a:xfrm>
            <a:off x="9867900" y="476250"/>
            <a:ext cx="1114425" cy="352425"/>
          </a:xfrm>
          <a:prstGeom prst="rect">
            <a:avLst/>
          </a:prstGeom>
          <a:solidFill>
            <a:schemeClr val="lt1"/>
          </a:solidFill>
          <a:ln w="1905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tr-TR" sz="800"/>
          </a:p>
        </xdr:txBody>
      </xdr:sp>
      <xdr:sp macro="" textlink="">
        <xdr:nvSpPr>
          <xdr:cNvPr id="7" name="Metin kutusu 6">
            <a:extLst>
              <a:ext uri="{FF2B5EF4-FFF2-40B4-BE49-F238E27FC236}">
                <a16:creationId xmlns:a16="http://schemas.microsoft.com/office/drawing/2014/main" id="{F9B286DE-E6F6-D92C-FE08-2B5828AE1C40}"/>
              </a:ext>
            </a:extLst>
          </xdr:cNvPr>
          <xdr:cNvSpPr txBox="1"/>
        </xdr:nvSpPr>
        <xdr:spPr>
          <a:xfrm>
            <a:off x="9867900" y="838200"/>
            <a:ext cx="1114425" cy="352425"/>
          </a:xfrm>
          <a:prstGeom prst="rect">
            <a:avLst/>
          </a:prstGeom>
          <a:solidFill>
            <a:schemeClr val="lt1"/>
          </a:solidFill>
          <a:ln w="1905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tr-TR" sz="1100"/>
          </a:p>
        </xdr:txBody>
      </xdr:sp>
      <xdr:sp macro="" textlink="">
        <xdr:nvSpPr>
          <xdr:cNvPr id="8" name="Metin kutusu 7">
            <a:extLst>
              <a:ext uri="{FF2B5EF4-FFF2-40B4-BE49-F238E27FC236}">
                <a16:creationId xmlns:a16="http://schemas.microsoft.com/office/drawing/2014/main" id="{B19E1EA6-FC75-6996-975B-1D1169B96E56}"/>
              </a:ext>
            </a:extLst>
          </xdr:cNvPr>
          <xdr:cNvSpPr txBox="1"/>
        </xdr:nvSpPr>
        <xdr:spPr>
          <a:xfrm>
            <a:off x="9867900" y="1190625"/>
            <a:ext cx="1114425" cy="352425"/>
          </a:xfrm>
          <a:prstGeom prst="rect">
            <a:avLst/>
          </a:prstGeom>
          <a:solidFill>
            <a:schemeClr val="lt1"/>
          </a:solidFill>
          <a:ln w="1905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tr-TR" sz="1100"/>
          </a:p>
        </xdr:txBody>
      </xdr:sp>
    </xdr:grpSp>
    <xdr:clientData/>
  </xdr:twoCellAnchor>
  <xdr:twoCellAnchor>
    <xdr:from>
      <xdr:col>6</xdr:col>
      <xdr:colOff>270404</xdr:colOff>
      <xdr:row>56</xdr:row>
      <xdr:rowOff>38100</xdr:rowOff>
    </xdr:from>
    <xdr:to>
      <xdr:col>7</xdr:col>
      <xdr:colOff>424922</xdr:colOff>
      <xdr:row>57</xdr:row>
      <xdr:rowOff>266700</xdr:rowOff>
    </xdr:to>
    <xdr:pic>
      <xdr:nvPicPr>
        <xdr:cNvPr id="9" name="Resim 1" descr="Açıklama: Untitled-2">
          <a:extLst>
            <a:ext uri="{FF2B5EF4-FFF2-40B4-BE49-F238E27FC236}">
              <a16:creationId xmlns:a16="http://schemas.microsoft.com/office/drawing/2014/main" id="{F0B3D31B-1D4C-4F19-B4BA-D4983595D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0624" y="18257520"/>
          <a:ext cx="779358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SA&#220;ST&#220;\yeni%20proje\D&#304;ZAYN%20CIKTISI.xlsx" TargetMode="External"/><Relationship Id="rId1" Type="http://schemas.openxmlformats.org/officeDocument/2006/relationships/externalLinkPath" Target="D&#304;ZAYN%20CIKTI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.11.2025 -1"/>
      <sheetName val="24.11.2025 -1"/>
      <sheetName val="24.11.2025 - 2"/>
      <sheetName val="24.11.2025 - 3"/>
      <sheetName val="08.12.2025"/>
      <sheetName val="19.12.2025"/>
      <sheetName val="19.12.2025 (2)"/>
      <sheetName val="19.12.2025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AR14">
            <v>6.3E-2</v>
          </cell>
          <cell r="AS14">
            <v>1</v>
          </cell>
          <cell r="AT14">
            <v>3</v>
          </cell>
          <cell r="AU14">
            <v>5</v>
          </cell>
          <cell r="AV14">
            <v>3.62</v>
          </cell>
        </row>
        <row r="15">
          <cell r="AR15">
            <v>0.15</v>
          </cell>
          <cell r="AS15">
            <v>3</v>
          </cell>
          <cell r="AT15">
            <v>7</v>
          </cell>
          <cell r="AU15">
            <v>10</v>
          </cell>
          <cell r="AV15">
            <v>5.91</v>
          </cell>
        </row>
        <row r="16">
          <cell r="AR16">
            <v>0.25</v>
          </cell>
          <cell r="AS16">
            <v>6</v>
          </cell>
          <cell r="AT16">
            <v>12</v>
          </cell>
          <cell r="AU16">
            <v>18</v>
          </cell>
          <cell r="AV16">
            <v>9.32</v>
          </cell>
        </row>
        <row r="17">
          <cell r="AR17">
            <v>0.5</v>
          </cell>
          <cell r="AS17">
            <v>10</v>
          </cell>
          <cell r="AT17">
            <v>19</v>
          </cell>
          <cell r="AU17">
            <v>28</v>
          </cell>
          <cell r="AV17">
            <v>13.79</v>
          </cell>
        </row>
        <row r="18">
          <cell r="AR18">
            <v>1</v>
          </cell>
          <cell r="AS18">
            <v>14</v>
          </cell>
          <cell r="AT18">
            <v>26</v>
          </cell>
          <cell r="AU18">
            <v>38</v>
          </cell>
          <cell r="AV18">
            <v>20.04</v>
          </cell>
        </row>
        <row r="19">
          <cell r="AR19">
            <v>2</v>
          </cell>
          <cell r="AS19">
            <v>20</v>
          </cell>
          <cell r="AT19">
            <v>35</v>
          </cell>
          <cell r="AU19">
            <v>48</v>
          </cell>
          <cell r="AV19">
            <v>30.36</v>
          </cell>
        </row>
        <row r="20">
          <cell r="AR20">
            <v>4</v>
          </cell>
          <cell r="AS20">
            <v>29</v>
          </cell>
          <cell r="AT20">
            <v>45</v>
          </cell>
          <cell r="AU20">
            <v>59</v>
          </cell>
          <cell r="AV20">
            <v>45.95</v>
          </cell>
        </row>
        <row r="21">
          <cell r="AR21">
            <v>8</v>
          </cell>
          <cell r="AS21">
            <v>41</v>
          </cell>
          <cell r="AT21">
            <v>56</v>
          </cell>
          <cell r="AU21">
            <v>71</v>
          </cell>
          <cell r="AV21">
            <v>61.65</v>
          </cell>
        </row>
        <row r="22">
          <cell r="AR22">
            <v>11.2</v>
          </cell>
          <cell r="AS22">
            <v>57</v>
          </cell>
          <cell r="AT22">
            <v>70</v>
          </cell>
          <cell r="AU22">
            <v>82</v>
          </cell>
          <cell r="AV22">
            <v>68.650000000000006</v>
          </cell>
        </row>
        <row r="23">
          <cell r="AR23">
            <v>16</v>
          </cell>
          <cell r="AS23">
            <v>72</v>
          </cell>
          <cell r="AT23">
            <v>82</v>
          </cell>
          <cell r="AU23">
            <v>91</v>
          </cell>
          <cell r="AV23">
            <v>84.22</v>
          </cell>
        </row>
        <row r="24">
          <cell r="AR24">
            <v>22.4</v>
          </cell>
          <cell r="AS24">
            <v>86</v>
          </cell>
          <cell r="AT24">
            <v>91</v>
          </cell>
          <cell r="AU24">
            <v>96</v>
          </cell>
          <cell r="AV24">
            <v>99.31</v>
          </cell>
        </row>
        <row r="25">
          <cell r="AR25">
            <v>31.5</v>
          </cell>
          <cell r="AS25">
            <v>94</v>
          </cell>
          <cell r="AT25">
            <v>96</v>
          </cell>
          <cell r="AU25">
            <v>98</v>
          </cell>
          <cell r="AV25">
            <v>100</v>
          </cell>
        </row>
        <row r="26">
          <cell r="AR26">
            <v>40</v>
          </cell>
          <cell r="AS26">
            <v>100</v>
          </cell>
          <cell r="AT26">
            <v>100</v>
          </cell>
          <cell r="AU26">
            <v>100</v>
          </cell>
          <cell r="AV26">
            <v>100</v>
          </cell>
        </row>
        <row r="34">
          <cell r="AZ34" t="str">
            <v>Lower Limit / Alt Limit</v>
          </cell>
          <cell r="BA34" t="str">
            <v>Upper Limit / Üst Limit</v>
          </cell>
        </row>
        <row r="35">
          <cell r="AY35">
            <v>31.5</v>
          </cell>
          <cell r="AZ35">
            <v>100</v>
          </cell>
          <cell r="BA35">
            <v>100</v>
          </cell>
          <cell r="BB35">
            <v>100</v>
          </cell>
          <cell r="BC35">
            <v>100</v>
          </cell>
        </row>
        <row r="36">
          <cell r="AY36">
            <v>22.4</v>
          </cell>
          <cell r="AZ36">
            <v>98</v>
          </cell>
          <cell r="BA36">
            <v>100</v>
          </cell>
          <cell r="BB36">
            <v>100</v>
          </cell>
          <cell r="BC36">
            <v>99.31</v>
          </cell>
        </row>
        <row r="37">
          <cell r="AY37">
            <v>16</v>
          </cell>
          <cell r="AZ37">
            <v>85</v>
          </cell>
          <cell r="BA37">
            <v>99</v>
          </cell>
          <cell r="BB37">
            <v>92</v>
          </cell>
          <cell r="BC37">
            <v>84.22</v>
          </cell>
        </row>
        <row r="38">
          <cell r="AY38">
            <v>11.2</v>
          </cell>
          <cell r="AZ38">
            <v>68</v>
          </cell>
          <cell r="BA38">
            <v>90</v>
          </cell>
          <cell r="BB38">
            <v>79</v>
          </cell>
          <cell r="BC38">
            <v>68.650000000000006</v>
          </cell>
        </row>
        <row r="39">
          <cell r="AY39">
            <v>8</v>
          </cell>
          <cell r="AZ39">
            <v>48</v>
          </cell>
          <cell r="BA39">
            <v>77</v>
          </cell>
          <cell r="BB39">
            <v>63</v>
          </cell>
          <cell r="BC39">
            <v>61.65</v>
          </cell>
        </row>
        <row r="40">
          <cell r="AY40">
            <v>4</v>
          </cell>
          <cell r="AZ40">
            <v>33</v>
          </cell>
          <cell r="BA40">
            <v>64</v>
          </cell>
          <cell r="BB40">
            <v>49</v>
          </cell>
          <cell r="BC40">
            <v>45.95</v>
          </cell>
        </row>
        <row r="41">
          <cell r="AY41">
            <v>2</v>
          </cell>
          <cell r="AZ41">
            <v>22</v>
          </cell>
          <cell r="BA41">
            <v>52</v>
          </cell>
          <cell r="BB41">
            <v>37</v>
          </cell>
          <cell r="BC41">
            <v>30.36</v>
          </cell>
        </row>
        <row r="42">
          <cell r="AY42">
            <v>1</v>
          </cell>
          <cell r="AZ42">
            <v>15</v>
          </cell>
          <cell r="BA42">
            <v>41</v>
          </cell>
          <cell r="BB42">
            <v>28</v>
          </cell>
          <cell r="BC42">
            <v>20.04</v>
          </cell>
        </row>
        <row r="43">
          <cell r="AY43">
            <v>0.5</v>
          </cell>
          <cell r="AZ43">
            <v>10</v>
          </cell>
          <cell r="BA43">
            <v>30</v>
          </cell>
          <cell r="BB43">
            <v>20</v>
          </cell>
          <cell r="BC43">
            <v>13.79</v>
          </cell>
        </row>
        <row r="44">
          <cell r="AY44">
            <v>0.25</v>
          </cell>
          <cell r="AZ44">
            <v>6</v>
          </cell>
          <cell r="BA44">
            <v>20</v>
          </cell>
          <cell r="BB44">
            <v>13</v>
          </cell>
          <cell r="BC44">
            <v>9.32</v>
          </cell>
        </row>
        <row r="45">
          <cell r="AY45">
            <v>0.15</v>
          </cell>
          <cell r="AZ45">
            <v>3</v>
          </cell>
          <cell r="BA45">
            <v>11</v>
          </cell>
          <cell r="BB45">
            <v>7</v>
          </cell>
          <cell r="BC45">
            <v>5.91</v>
          </cell>
        </row>
        <row r="46">
          <cell r="AY46">
            <v>6.3E-2</v>
          </cell>
          <cell r="AZ46">
            <v>1</v>
          </cell>
          <cell r="BA46">
            <v>5</v>
          </cell>
          <cell r="BB46">
            <v>3</v>
          </cell>
          <cell r="BC46">
            <v>5.91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0"/>
  <sheetViews>
    <sheetView tabSelected="1" workbookViewId="0">
      <selection activeCell="Q5" sqref="Q5"/>
    </sheetView>
  </sheetViews>
  <sheetFormatPr defaultRowHeight="13.2" x14ac:dyDescent="0.25"/>
  <cols>
    <col min="1" max="1" width="24.109375" style="1" customWidth="1"/>
    <col min="2" max="2" width="13.5546875" style="1" customWidth="1"/>
    <col min="3" max="3" width="8" style="1" customWidth="1"/>
    <col min="4" max="4" width="18.33203125" style="1" customWidth="1"/>
    <col min="5" max="5" width="9.109375" style="1" customWidth="1"/>
    <col min="6" max="6" width="8.109375" style="1" customWidth="1"/>
    <col min="7" max="14" width="9.109375" style="1" customWidth="1"/>
    <col min="15" max="15" width="8.33203125" style="1" customWidth="1"/>
    <col min="16" max="16" width="10.88671875" style="1" customWidth="1"/>
    <col min="17" max="17" width="11.33203125" style="1" customWidth="1"/>
    <col min="18" max="18" width="6.44140625" style="1" customWidth="1"/>
    <col min="19" max="19" width="17.109375" style="1" customWidth="1"/>
    <col min="20" max="20" width="8.44140625" style="1" customWidth="1"/>
    <col min="21" max="22" width="6.44140625" style="1" customWidth="1"/>
    <col min="23" max="23" width="8.88671875" style="1"/>
    <col min="24" max="24" width="9.6640625" style="1" customWidth="1"/>
    <col min="25" max="25" width="6.44140625" style="1" customWidth="1"/>
    <col min="26" max="50" width="5.6640625" style="1" customWidth="1"/>
    <col min="51" max="51" width="8.88671875" style="1"/>
    <col min="52" max="52" width="22.33203125" style="1" customWidth="1"/>
    <col min="53" max="53" width="20.6640625" style="1" customWidth="1"/>
    <col min="54" max="54" width="23.44140625" style="1" customWidth="1"/>
    <col min="55" max="55" width="20.6640625" style="1" customWidth="1"/>
    <col min="56" max="257" width="8.88671875" style="1"/>
    <col min="258" max="258" width="30.33203125" style="1" customWidth="1"/>
    <col min="259" max="259" width="12.33203125" style="1" customWidth="1"/>
    <col min="260" max="260" width="12.6640625" style="1" customWidth="1"/>
    <col min="261" max="261" width="15.44140625" style="1" customWidth="1"/>
    <col min="262" max="273" width="8.5546875" style="1" customWidth="1"/>
    <col min="274" max="306" width="5.6640625" style="1" customWidth="1"/>
    <col min="307" max="307" width="8.88671875" style="1"/>
    <col min="308" max="308" width="22.33203125" style="1" customWidth="1"/>
    <col min="309" max="309" width="20.6640625" style="1" customWidth="1"/>
    <col min="310" max="310" width="23.44140625" style="1" customWidth="1"/>
    <col min="311" max="311" width="20.6640625" style="1" customWidth="1"/>
    <col min="312" max="513" width="8.88671875" style="1"/>
    <col min="514" max="514" width="30.33203125" style="1" customWidth="1"/>
    <col min="515" max="515" width="12.33203125" style="1" customWidth="1"/>
    <col min="516" max="516" width="12.6640625" style="1" customWidth="1"/>
    <col min="517" max="517" width="15.44140625" style="1" customWidth="1"/>
    <col min="518" max="529" width="8.5546875" style="1" customWidth="1"/>
    <col min="530" max="562" width="5.6640625" style="1" customWidth="1"/>
    <col min="563" max="563" width="8.88671875" style="1"/>
    <col min="564" max="564" width="22.33203125" style="1" customWidth="1"/>
    <col min="565" max="565" width="20.6640625" style="1" customWidth="1"/>
    <col min="566" max="566" width="23.44140625" style="1" customWidth="1"/>
    <col min="567" max="567" width="20.6640625" style="1" customWidth="1"/>
    <col min="568" max="769" width="8.88671875" style="1"/>
    <col min="770" max="770" width="30.33203125" style="1" customWidth="1"/>
    <col min="771" max="771" width="12.33203125" style="1" customWidth="1"/>
    <col min="772" max="772" width="12.6640625" style="1" customWidth="1"/>
    <col min="773" max="773" width="15.44140625" style="1" customWidth="1"/>
    <col min="774" max="785" width="8.5546875" style="1" customWidth="1"/>
    <col min="786" max="818" width="5.6640625" style="1" customWidth="1"/>
    <col min="819" max="819" width="8.88671875" style="1"/>
    <col min="820" max="820" width="22.33203125" style="1" customWidth="1"/>
    <col min="821" max="821" width="20.6640625" style="1" customWidth="1"/>
    <col min="822" max="822" width="23.44140625" style="1" customWidth="1"/>
    <col min="823" max="823" width="20.6640625" style="1" customWidth="1"/>
    <col min="824" max="1025" width="8.88671875" style="1"/>
    <col min="1026" max="1026" width="30.33203125" style="1" customWidth="1"/>
    <col min="1027" max="1027" width="12.33203125" style="1" customWidth="1"/>
    <col min="1028" max="1028" width="12.6640625" style="1" customWidth="1"/>
    <col min="1029" max="1029" width="15.44140625" style="1" customWidth="1"/>
    <col min="1030" max="1041" width="8.5546875" style="1" customWidth="1"/>
    <col min="1042" max="1074" width="5.6640625" style="1" customWidth="1"/>
    <col min="1075" max="1075" width="8.88671875" style="1"/>
    <col min="1076" max="1076" width="22.33203125" style="1" customWidth="1"/>
    <col min="1077" max="1077" width="20.6640625" style="1" customWidth="1"/>
    <col min="1078" max="1078" width="23.44140625" style="1" customWidth="1"/>
    <col min="1079" max="1079" width="20.6640625" style="1" customWidth="1"/>
    <col min="1080" max="1281" width="8.88671875" style="1"/>
    <col min="1282" max="1282" width="30.33203125" style="1" customWidth="1"/>
    <col min="1283" max="1283" width="12.33203125" style="1" customWidth="1"/>
    <col min="1284" max="1284" width="12.6640625" style="1" customWidth="1"/>
    <col min="1285" max="1285" width="15.44140625" style="1" customWidth="1"/>
    <col min="1286" max="1297" width="8.5546875" style="1" customWidth="1"/>
    <col min="1298" max="1330" width="5.6640625" style="1" customWidth="1"/>
    <col min="1331" max="1331" width="8.88671875" style="1"/>
    <col min="1332" max="1332" width="22.33203125" style="1" customWidth="1"/>
    <col min="1333" max="1333" width="20.6640625" style="1" customWidth="1"/>
    <col min="1334" max="1334" width="23.44140625" style="1" customWidth="1"/>
    <col min="1335" max="1335" width="20.6640625" style="1" customWidth="1"/>
    <col min="1336" max="1537" width="8.88671875" style="1"/>
    <col min="1538" max="1538" width="30.33203125" style="1" customWidth="1"/>
    <col min="1539" max="1539" width="12.33203125" style="1" customWidth="1"/>
    <col min="1540" max="1540" width="12.6640625" style="1" customWidth="1"/>
    <col min="1541" max="1541" width="15.44140625" style="1" customWidth="1"/>
    <col min="1542" max="1553" width="8.5546875" style="1" customWidth="1"/>
    <col min="1554" max="1586" width="5.6640625" style="1" customWidth="1"/>
    <col min="1587" max="1587" width="8.88671875" style="1"/>
    <col min="1588" max="1588" width="22.33203125" style="1" customWidth="1"/>
    <col min="1589" max="1589" width="20.6640625" style="1" customWidth="1"/>
    <col min="1590" max="1590" width="23.44140625" style="1" customWidth="1"/>
    <col min="1591" max="1591" width="20.6640625" style="1" customWidth="1"/>
    <col min="1592" max="1793" width="8.88671875" style="1"/>
    <col min="1794" max="1794" width="30.33203125" style="1" customWidth="1"/>
    <col min="1795" max="1795" width="12.33203125" style="1" customWidth="1"/>
    <col min="1796" max="1796" width="12.6640625" style="1" customWidth="1"/>
    <col min="1797" max="1797" width="15.44140625" style="1" customWidth="1"/>
    <col min="1798" max="1809" width="8.5546875" style="1" customWidth="1"/>
    <col min="1810" max="1842" width="5.6640625" style="1" customWidth="1"/>
    <col min="1843" max="1843" width="8.88671875" style="1"/>
    <col min="1844" max="1844" width="22.33203125" style="1" customWidth="1"/>
    <col min="1845" max="1845" width="20.6640625" style="1" customWidth="1"/>
    <col min="1846" max="1846" width="23.44140625" style="1" customWidth="1"/>
    <col min="1847" max="1847" width="20.6640625" style="1" customWidth="1"/>
    <col min="1848" max="2049" width="8.88671875" style="1"/>
    <col min="2050" max="2050" width="30.33203125" style="1" customWidth="1"/>
    <col min="2051" max="2051" width="12.33203125" style="1" customWidth="1"/>
    <col min="2052" max="2052" width="12.6640625" style="1" customWidth="1"/>
    <col min="2053" max="2053" width="15.44140625" style="1" customWidth="1"/>
    <col min="2054" max="2065" width="8.5546875" style="1" customWidth="1"/>
    <col min="2066" max="2098" width="5.6640625" style="1" customWidth="1"/>
    <col min="2099" max="2099" width="8.88671875" style="1"/>
    <col min="2100" max="2100" width="22.33203125" style="1" customWidth="1"/>
    <col min="2101" max="2101" width="20.6640625" style="1" customWidth="1"/>
    <col min="2102" max="2102" width="23.44140625" style="1" customWidth="1"/>
    <col min="2103" max="2103" width="20.6640625" style="1" customWidth="1"/>
    <col min="2104" max="2305" width="8.88671875" style="1"/>
    <col min="2306" max="2306" width="30.33203125" style="1" customWidth="1"/>
    <col min="2307" max="2307" width="12.33203125" style="1" customWidth="1"/>
    <col min="2308" max="2308" width="12.6640625" style="1" customWidth="1"/>
    <col min="2309" max="2309" width="15.44140625" style="1" customWidth="1"/>
    <col min="2310" max="2321" width="8.5546875" style="1" customWidth="1"/>
    <col min="2322" max="2354" width="5.6640625" style="1" customWidth="1"/>
    <col min="2355" max="2355" width="8.88671875" style="1"/>
    <col min="2356" max="2356" width="22.33203125" style="1" customWidth="1"/>
    <col min="2357" max="2357" width="20.6640625" style="1" customWidth="1"/>
    <col min="2358" max="2358" width="23.44140625" style="1" customWidth="1"/>
    <col min="2359" max="2359" width="20.6640625" style="1" customWidth="1"/>
    <col min="2360" max="2561" width="8.88671875" style="1"/>
    <col min="2562" max="2562" width="30.33203125" style="1" customWidth="1"/>
    <col min="2563" max="2563" width="12.33203125" style="1" customWidth="1"/>
    <col min="2564" max="2564" width="12.6640625" style="1" customWidth="1"/>
    <col min="2565" max="2565" width="15.44140625" style="1" customWidth="1"/>
    <col min="2566" max="2577" width="8.5546875" style="1" customWidth="1"/>
    <col min="2578" max="2610" width="5.6640625" style="1" customWidth="1"/>
    <col min="2611" max="2611" width="8.88671875" style="1"/>
    <col min="2612" max="2612" width="22.33203125" style="1" customWidth="1"/>
    <col min="2613" max="2613" width="20.6640625" style="1" customWidth="1"/>
    <col min="2614" max="2614" width="23.44140625" style="1" customWidth="1"/>
    <col min="2615" max="2615" width="20.6640625" style="1" customWidth="1"/>
    <col min="2616" max="2817" width="8.88671875" style="1"/>
    <col min="2818" max="2818" width="30.33203125" style="1" customWidth="1"/>
    <col min="2819" max="2819" width="12.33203125" style="1" customWidth="1"/>
    <col min="2820" max="2820" width="12.6640625" style="1" customWidth="1"/>
    <col min="2821" max="2821" width="15.44140625" style="1" customWidth="1"/>
    <col min="2822" max="2833" width="8.5546875" style="1" customWidth="1"/>
    <col min="2834" max="2866" width="5.6640625" style="1" customWidth="1"/>
    <col min="2867" max="2867" width="8.88671875" style="1"/>
    <col min="2868" max="2868" width="22.33203125" style="1" customWidth="1"/>
    <col min="2869" max="2869" width="20.6640625" style="1" customWidth="1"/>
    <col min="2870" max="2870" width="23.44140625" style="1" customWidth="1"/>
    <col min="2871" max="2871" width="20.6640625" style="1" customWidth="1"/>
    <col min="2872" max="3073" width="8.88671875" style="1"/>
    <col min="3074" max="3074" width="30.33203125" style="1" customWidth="1"/>
    <col min="3075" max="3075" width="12.33203125" style="1" customWidth="1"/>
    <col min="3076" max="3076" width="12.6640625" style="1" customWidth="1"/>
    <col min="3077" max="3077" width="15.44140625" style="1" customWidth="1"/>
    <col min="3078" max="3089" width="8.5546875" style="1" customWidth="1"/>
    <col min="3090" max="3122" width="5.6640625" style="1" customWidth="1"/>
    <col min="3123" max="3123" width="8.88671875" style="1"/>
    <col min="3124" max="3124" width="22.33203125" style="1" customWidth="1"/>
    <col min="3125" max="3125" width="20.6640625" style="1" customWidth="1"/>
    <col min="3126" max="3126" width="23.44140625" style="1" customWidth="1"/>
    <col min="3127" max="3127" width="20.6640625" style="1" customWidth="1"/>
    <col min="3128" max="3329" width="8.88671875" style="1"/>
    <col min="3330" max="3330" width="30.33203125" style="1" customWidth="1"/>
    <col min="3331" max="3331" width="12.33203125" style="1" customWidth="1"/>
    <col min="3332" max="3332" width="12.6640625" style="1" customWidth="1"/>
    <col min="3333" max="3333" width="15.44140625" style="1" customWidth="1"/>
    <col min="3334" max="3345" width="8.5546875" style="1" customWidth="1"/>
    <col min="3346" max="3378" width="5.6640625" style="1" customWidth="1"/>
    <col min="3379" max="3379" width="8.88671875" style="1"/>
    <col min="3380" max="3380" width="22.33203125" style="1" customWidth="1"/>
    <col min="3381" max="3381" width="20.6640625" style="1" customWidth="1"/>
    <col min="3382" max="3382" width="23.44140625" style="1" customWidth="1"/>
    <col min="3383" max="3383" width="20.6640625" style="1" customWidth="1"/>
    <col min="3384" max="3585" width="8.88671875" style="1"/>
    <col min="3586" max="3586" width="30.33203125" style="1" customWidth="1"/>
    <col min="3587" max="3587" width="12.33203125" style="1" customWidth="1"/>
    <col min="3588" max="3588" width="12.6640625" style="1" customWidth="1"/>
    <col min="3589" max="3589" width="15.44140625" style="1" customWidth="1"/>
    <col min="3590" max="3601" width="8.5546875" style="1" customWidth="1"/>
    <col min="3602" max="3634" width="5.6640625" style="1" customWidth="1"/>
    <col min="3635" max="3635" width="8.88671875" style="1"/>
    <col min="3636" max="3636" width="22.33203125" style="1" customWidth="1"/>
    <col min="3637" max="3637" width="20.6640625" style="1" customWidth="1"/>
    <col min="3638" max="3638" width="23.44140625" style="1" customWidth="1"/>
    <col min="3639" max="3639" width="20.6640625" style="1" customWidth="1"/>
    <col min="3640" max="3841" width="8.88671875" style="1"/>
    <col min="3842" max="3842" width="30.33203125" style="1" customWidth="1"/>
    <col min="3843" max="3843" width="12.33203125" style="1" customWidth="1"/>
    <col min="3844" max="3844" width="12.6640625" style="1" customWidth="1"/>
    <col min="3845" max="3845" width="15.44140625" style="1" customWidth="1"/>
    <col min="3846" max="3857" width="8.5546875" style="1" customWidth="1"/>
    <col min="3858" max="3890" width="5.6640625" style="1" customWidth="1"/>
    <col min="3891" max="3891" width="8.88671875" style="1"/>
    <col min="3892" max="3892" width="22.33203125" style="1" customWidth="1"/>
    <col min="3893" max="3893" width="20.6640625" style="1" customWidth="1"/>
    <col min="3894" max="3894" width="23.44140625" style="1" customWidth="1"/>
    <col min="3895" max="3895" width="20.6640625" style="1" customWidth="1"/>
    <col min="3896" max="4097" width="8.88671875" style="1"/>
    <col min="4098" max="4098" width="30.33203125" style="1" customWidth="1"/>
    <col min="4099" max="4099" width="12.33203125" style="1" customWidth="1"/>
    <col min="4100" max="4100" width="12.6640625" style="1" customWidth="1"/>
    <col min="4101" max="4101" width="15.44140625" style="1" customWidth="1"/>
    <col min="4102" max="4113" width="8.5546875" style="1" customWidth="1"/>
    <col min="4114" max="4146" width="5.6640625" style="1" customWidth="1"/>
    <col min="4147" max="4147" width="8.88671875" style="1"/>
    <col min="4148" max="4148" width="22.33203125" style="1" customWidth="1"/>
    <col min="4149" max="4149" width="20.6640625" style="1" customWidth="1"/>
    <col min="4150" max="4150" width="23.44140625" style="1" customWidth="1"/>
    <col min="4151" max="4151" width="20.6640625" style="1" customWidth="1"/>
    <col min="4152" max="4353" width="8.88671875" style="1"/>
    <col min="4354" max="4354" width="30.33203125" style="1" customWidth="1"/>
    <col min="4355" max="4355" width="12.33203125" style="1" customWidth="1"/>
    <col min="4356" max="4356" width="12.6640625" style="1" customWidth="1"/>
    <col min="4357" max="4357" width="15.44140625" style="1" customWidth="1"/>
    <col min="4358" max="4369" width="8.5546875" style="1" customWidth="1"/>
    <col min="4370" max="4402" width="5.6640625" style="1" customWidth="1"/>
    <col min="4403" max="4403" width="8.88671875" style="1"/>
    <col min="4404" max="4404" width="22.33203125" style="1" customWidth="1"/>
    <col min="4405" max="4405" width="20.6640625" style="1" customWidth="1"/>
    <col min="4406" max="4406" width="23.44140625" style="1" customWidth="1"/>
    <col min="4407" max="4407" width="20.6640625" style="1" customWidth="1"/>
    <col min="4408" max="4609" width="8.88671875" style="1"/>
    <col min="4610" max="4610" width="30.33203125" style="1" customWidth="1"/>
    <col min="4611" max="4611" width="12.33203125" style="1" customWidth="1"/>
    <col min="4612" max="4612" width="12.6640625" style="1" customWidth="1"/>
    <col min="4613" max="4613" width="15.44140625" style="1" customWidth="1"/>
    <col min="4614" max="4625" width="8.5546875" style="1" customWidth="1"/>
    <col min="4626" max="4658" width="5.6640625" style="1" customWidth="1"/>
    <col min="4659" max="4659" width="8.88671875" style="1"/>
    <col min="4660" max="4660" width="22.33203125" style="1" customWidth="1"/>
    <col min="4661" max="4661" width="20.6640625" style="1" customWidth="1"/>
    <col min="4662" max="4662" width="23.44140625" style="1" customWidth="1"/>
    <col min="4663" max="4663" width="20.6640625" style="1" customWidth="1"/>
    <col min="4664" max="4865" width="8.88671875" style="1"/>
    <col min="4866" max="4866" width="30.33203125" style="1" customWidth="1"/>
    <col min="4867" max="4867" width="12.33203125" style="1" customWidth="1"/>
    <col min="4868" max="4868" width="12.6640625" style="1" customWidth="1"/>
    <col min="4869" max="4869" width="15.44140625" style="1" customWidth="1"/>
    <col min="4870" max="4881" width="8.5546875" style="1" customWidth="1"/>
    <col min="4882" max="4914" width="5.6640625" style="1" customWidth="1"/>
    <col min="4915" max="4915" width="8.88671875" style="1"/>
    <col min="4916" max="4916" width="22.33203125" style="1" customWidth="1"/>
    <col min="4917" max="4917" width="20.6640625" style="1" customWidth="1"/>
    <col min="4918" max="4918" width="23.44140625" style="1" customWidth="1"/>
    <col min="4919" max="4919" width="20.6640625" style="1" customWidth="1"/>
    <col min="4920" max="5121" width="8.88671875" style="1"/>
    <col min="5122" max="5122" width="30.33203125" style="1" customWidth="1"/>
    <col min="5123" max="5123" width="12.33203125" style="1" customWidth="1"/>
    <col min="5124" max="5124" width="12.6640625" style="1" customWidth="1"/>
    <col min="5125" max="5125" width="15.44140625" style="1" customWidth="1"/>
    <col min="5126" max="5137" width="8.5546875" style="1" customWidth="1"/>
    <col min="5138" max="5170" width="5.6640625" style="1" customWidth="1"/>
    <col min="5171" max="5171" width="8.88671875" style="1"/>
    <col min="5172" max="5172" width="22.33203125" style="1" customWidth="1"/>
    <col min="5173" max="5173" width="20.6640625" style="1" customWidth="1"/>
    <col min="5174" max="5174" width="23.44140625" style="1" customWidth="1"/>
    <col min="5175" max="5175" width="20.6640625" style="1" customWidth="1"/>
    <col min="5176" max="5377" width="8.88671875" style="1"/>
    <col min="5378" max="5378" width="30.33203125" style="1" customWidth="1"/>
    <col min="5379" max="5379" width="12.33203125" style="1" customWidth="1"/>
    <col min="5380" max="5380" width="12.6640625" style="1" customWidth="1"/>
    <col min="5381" max="5381" width="15.44140625" style="1" customWidth="1"/>
    <col min="5382" max="5393" width="8.5546875" style="1" customWidth="1"/>
    <col min="5394" max="5426" width="5.6640625" style="1" customWidth="1"/>
    <col min="5427" max="5427" width="8.88671875" style="1"/>
    <col min="5428" max="5428" width="22.33203125" style="1" customWidth="1"/>
    <col min="5429" max="5429" width="20.6640625" style="1" customWidth="1"/>
    <col min="5430" max="5430" width="23.44140625" style="1" customWidth="1"/>
    <col min="5431" max="5431" width="20.6640625" style="1" customWidth="1"/>
    <col min="5432" max="5633" width="8.88671875" style="1"/>
    <col min="5634" max="5634" width="30.33203125" style="1" customWidth="1"/>
    <col min="5635" max="5635" width="12.33203125" style="1" customWidth="1"/>
    <col min="5636" max="5636" width="12.6640625" style="1" customWidth="1"/>
    <col min="5637" max="5637" width="15.44140625" style="1" customWidth="1"/>
    <col min="5638" max="5649" width="8.5546875" style="1" customWidth="1"/>
    <col min="5650" max="5682" width="5.6640625" style="1" customWidth="1"/>
    <col min="5683" max="5683" width="8.88671875" style="1"/>
    <col min="5684" max="5684" width="22.33203125" style="1" customWidth="1"/>
    <col min="5685" max="5685" width="20.6640625" style="1" customWidth="1"/>
    <col min="5686" max="5686" width="23.44140625" style="1" customWidth="1"/>
    <col min="5687" max="5687" width="20.6640625" style="1" customWidth="1"/>
    <col min="5688" max="5889" width="8.88671875" style="1"/>
    <col min="5890" max="5890" width="30.33203125" style="1" customWidth="1"/>
    <col min="5891" max="5891" width="12.33203125" style="1" customWidth="1"/>
    <col min="5892" max="5892" width="12.6640625" style="1" customWidth="1"/>
    <col min="5893" max="5893" width="15.44140625" style="1" customWidth="1"/>
    <col min="5894" max="5905" width="8.5546875" style="1" customWidth="1"/>
    <col min="5906" max="5938" width="5.6640625" style="1" customWidth="1"/>
    <col min="5939" max="5939" width="8.88671875" style="1"/>
    <col min="5940" max="5940" width="22.33203125" style="1" customWidth="1"/>
    <col min="5941" max="5941" width="20.6640625" style="1" customWidth="1"/>
    <col min="5942" max="5942" width="23.44140625" style="1" customWidth="1"/>
    <col min="5943" max="5943" width="20.6640625" style="1" customWidth="1"/>
    <col min="5944" max="6145" width="8.88671875" style="1"/>
    <col min="6146" max="6146" width="30.33203125" style="1" customWidth="1"/>
    <col min="6147" max="6147" width="12.33203125" style="1" customWidth="1"/>
    <col min="6148" max="6148" width="12.6640625" style="1" customWidth="1"/>
    <col min="6149" max="6149" width="15.44140625" style="1" customWidth="1"/>
    <col min="6150" max="6161" width="8.5546875" style="1" customWidth="1"/>
    <col min="6162" max="6194" width="5.6640625" style="1" customWidth="1"/>
    <col min="6195" max="6195" width="8.88671875" style="1"/>
    <col min="6196" max="6196" width="22.33203125" style="1" customWidth="1"/>
    <col min="6197" max="6197" width="20.6640625" style="1" customWidth="1"/>
    <col min="6198" max="6198" width="23.44140625" style="1" customWidth="1"/>
    <col min="6199" max="6199" width="20.6640625" style="1" customWidth="1"/>
    <col min="6200" max="6401" width="8.88671875" style="1"/>
    <col min="6402" max="6402" width="30.33203125" style="1" customWidth="1"/>
    <col min="6403" max="6403" width="12.33203125" style="1" customWidth="1"/>
    <col min="6404" max="6404" width="12.6640625" style="1" customWidth="1"/>
    <col min="6405" max="6405" width="15.44140625" style="1" customWidth="1"/>
    <col min="6406" max="6417" width="8.5546875" style="1" customWidth="1"/>
    <col min="6418" max="6450" width="5.6640625" style="1" customWidth="1"/>
    <col min="6451" max="6451" width="8.88671875" style="1"/>
    <col min="6452" max="6452" width="22.33203125" style="1" customWidth="1"/>
    <col min="6453" max="6453" width="20.6640625" style="1" customWidth="1"/>
    <col min="6454" max="6454" width="23.44140625" style="1" customWidth="1"/>
    <col min="6455" max="6455" width="20.6640625" style="1" customWidth="1"/>
    <col min="6456" max="6657" width="8.88671875" style="1"/>
    <col min="6658" max="6658" width="30.33203125" style="1" customWidth="1"/>
    <col min="6659" max="6659" width="12.33203125" style="1" customWidth="1"/>
    <col min="6660" max="6660" width="12.6640625" style="1" customWidth="1"/>
    <col min="6661" max="6661" width="15.44140625" style="1" customWidth="1"/>
    <col min="6662" max="6673" width="8.5546875" style="1" customWidth="1"/>
    <col min="6674" max="6706" width="5.6640625" style="1" customWidth="1"/>
    <col min="6707" max="6707" width="8.88671875" style="1"/>
    <col min="6708" max="6708" width="22.33203125" style="1" customWidth="1"/>
    <col min="6709" max="6709" width="20.6640625" style="1" customWidth="1"/>
    <col min="6710" max="6710" width="23.44140625" style="1" customWidth="1"/>
    <col min="6711" max="6711" width="20.6640625" style="1" customWidth="1"/>
    <col min="6712" max="6913" width="8.88671875" style="1"/>
    <col min="6914" max="6914" width="30.33203125" style="1" customWidth="1"/>
    <col min="6915" max="6915" width="12.33203125" style="1" customWidth="1"/>
    <col min="6916" max="6916" width="12.6640625" style="1" customWidth="1"/>
    <col min="6917" max="6917" width="15.44140625" style="1" customWidth="1"/>
    <col min="6918" max="6929" width="8.5546875" style="1" customWidth="1"/>
    <col min="6930" max="6962" width="5.6640625" style="1" customWidth="1"/>
    <col min="6963" max="6963" width="8.88671875" style="1"/>
    <col min="6964" max="6964" width="22.33203125" style="1" customWidth="1"/>
    <col min="6965" max="6965" width="20.6640625" style="1" customWidth="1"/>
    <col min="6966" max="6966" width="23.44140625" style="1" customWidth="1"/>
    <col min="6967" max="6967" width="20.6640625" style="1" customWidth="1"/>
    <col min="6968" max="7169" width="8.88671875" style="1"/>
    <col min="7170" max="7170" width="30.33203125" style="1" customWidth="1"/>
    <col min="7171" max="7171" width="12.33203125" style="1" customWidth="1"/>
    <col min="7172" max="7172" width="12.6640625" style="1" customWidth="1"/>
    <col min="7173" max="7173" width="15.44140625" style="1" customWidth="1"/>
    <col min="7174" max="7185" width="8.5546875" style="1" customWidth="1"/>
    <col min="7186" max="7218" width="5.6640625" style="1" customWidth="1"/>
    <col min="7219" max="7219" width="8.88671875" style="1"/>
    <col min="7220" max="7220" width="22.33203125" style="1" customWidth="1"/>
    <col min="7221" max="7221" width="20.6640625" style="1" customWidth="1"/>
    <col min="7222" max="7222" width="23.44140625" style="1" customWidth="1"/>
    <col min="7223" max="7223" width="20.6640625" style="1" customWidth="1"/>
    <col min="7224" max="7425" width="8.88671875" style="1"/>
    <col min="7426" max="7426" width="30.33203125" style="1" customWidth="1"/>
    <col min="7427" max="7427" width="12.33203125" style="1" customWidth="1"/>
    <col min="7428" max="7428" width="12.6640625" style="1" customWidth="1"/>
    <col min="7429" max="7429" width="15.44140625" style="1" customWidth="1"/>
    <col min="7430" max="7441" width="8.5546875" style="1" customWidth="1"/>
    <col min="7442" max="7474" width="5.6640625" style="1" customWidth="1"/>
    <col min="7475" max="7475" width="8.88671875" style="1"/>
    <col min="7476" max="7476" width="22.33203125" style="1" customWidth="1"/>
    <col min="7477" max="7477" width="20.6640625" style="1" customWidth="1"/>
    <col min="7478" max="7478" width="23.44140625" style="1" customWidth="1"/>
    <col min="7479" max="7479" width="20.6640625" style="1" customWidth="1"/>
    <col min="7480" max="7681" width="8.88671875" style="1"/>
    <col min="7682" max="7682" width="30.33203125" style="1" customWidth="1"/>
    <col min="7683" max="7683" width="12.33203125" style="1" customWidth="1"/>
    <col min="7684" max="7684" width="12.6640625" style="1" customWidth="1"/>
    <col min="7685" max="7685" width="15.44140625" style="1" customWidth="1"/>
    <col min="7686" max="7697" width="8.5546875" style="1" customWidth="1"/>
    <col min="7698" max="7730" width="5.6640625" style="1" customWidth="1"/>
    <col min="7731" max="7731" width="8.88671875" style="1"/>
    <col min="7732" max="7732" width="22.33203125" style="1" customWidth="1"/>
    <col min="7733" max="7733" width="20.6640625" style="1" customWidth="1"/>
    <col min="7734" max="7734" width="23.44140625" style="1" customWidth="1"/>
    <col min="7735" max="7735" width="20.6640625" style="1" customWidth="1"/>
    <col min="7736" max="7937" width="8.88671875" style="1"/>
    <col min="7938" max="7938" width="30.33203125" style="1" customWidth="1"/>
    <col min="7939" max="7939" width="12.33203125" style="1" customWidth="1"/>
    <col min="7940" max="7940" width="12.6640625" style="1" customWidth="1"/>
    <col min="7941" max="7941" width="15.44140625" style="1" customWidth="1"/>
    <col min="7942" max="7953" width="8.5546875" style="1" customWidth="1"/>
    <col min="7954" max="7986" width="5.6640625" style="1" customWidth="1"/>
    <col min="7987" max="7987" width="8.88671875" style="1"/>
    <col min="7988" max="7988" width="22.33203125" style="1" customWidth="1"/>
    <col min="7989" max="7989" width="20.6640625" style="1" customWidth="1"/>
    <col min="7990" max="7990" width="23.44140625" style="1" customWidth="1"/>
    <col min="7991" max="7991" width="20.6640625" style="1" customWidth="1"/>
    <col min="7992" max="8193" width="8.88671875" style="1"/>
    <col min="8194" max="8194" width="30.33203125" style="1" customWidth="1"/>
    <col min="8195" max="8195" width="12.33203125" style="1" customWidth="1"/>
    <col min="8196" max="8196" width="12.6640625" style="1" customWidth="1"/>
    <col min="8197" max="8197" width="15.44140625" style="1" customWidth="1"/>
    <col min="8198" max="8209" width="8.5546875" style="1" customWidth="1"/>
    <col min="8210" max="8242" width="5.6640625" style="1" customWidth="1"/>
    <col min="8243" max="8243" width="8.88671875" style="1"/>
    <col min="8244" max="8244" width="22.33203125" style="1" customWidth="1"/>
    <col min="8245" max="8245" width="20.6640625" style="1" customWidth="1"/>
    <col min="8246" max="8246" width="23.44140625" style="1" customWidth="1"/>
    <col min="8247" max="8247" width="20.6640625" style="1" customWidth="1"/>
    <col min="8248" max="8449" width="8.88671875" style="1"/>
    <col min="8450" max="8450" width="30.33203125" style="1" customWidth="1"/>
    <col min="8451" max="8451" width="12.33203125" style="1" customWidth="1"/>
    <col min="8452" max="8452" width="12.6640625" style="1" customWidth="1"/>
    <col min="8453" max="8453" width="15.44140625" style="1" customWidth="1"/>
    <col min="8454" max="8465" width="8.5546875" style="1" customWidth="1"/>
    <col min="8466" max="8498" width="5.6640625" style="1" customWidth="1"/>
    <col min="8499" max="8499" width="8.88671875" style="1"/>
    <col min="8500" max="8500" width="22.33203125" style="1" customWidth="1"/>
    <col min="8501" max="8501" width="20.6640625" style="1" customWidth="1"/>
    <col min="8502" max="8502" width="23.44140625" style="1" customWidth="1"/>
    <col min="8503" max="8503" width="20.6640625" style="1" customWidth="1"/>
    <col min="8504" max="8705" width="8.88671875" style="1"/>
    <col min="8706" max="8706" width="30.33203125" style="1" customWidth="1"/>
    <col min="8707" max="8707" width="12.33203125" style="1" customWidth="1"/>
    <col min="8708" max="8708" width="12.6640625" style="1" customWidth="1"/>
    <col min="8709" max="8709" width="15.44140625" style="1" customWidth="1"/>
    <col min="8710" max="8721" width="8.5546875" style="1" customWidth="1"/>
    <col min="8722" max="8754" width="5.6640625" style="1" customWidth="1"/>
    <col min="8755" max="8755" width="8.88671875" style="1"/>
    <col min="8756" max="8756" width="22.33203125" style="1" customWidth="1"/>
    <col min="8757" max="8757" width="20.6640625" style="1" customWidth="1"/>
    <col min="8758" max="8758" width="23.44140625" style="1" customWidth="1"/>
    <col min="8759" max="8759" width="20.6640625" style="1" customWidth="1"/>
    <col min="8760" max="8961" width="8.88671875" style="1"/>
    <col min="8962" max="8962" width="30.33203125" style="1" customWidth="1"/>
    <col min="8963" max="8963" width="12.33203125" style="1" customWidth="1"/>
    <col min="8964" max="8964" width="12.6640625" style="1" customWidth="1"/>
    <col min="8965" max="8965" width="15.44140625" style="1" customWidth="1"/>
    <col min="8966" max="8977" width="8.5546875" style="1" customWidth="1"/>
    <col min="8978" max="9010" width="5.6640625" style="1" customWidth="1"/>
    <col min="9011" max="9011" width="8.88671875" style="1"/>
    <col min="9012" max="9012" width="22.33203125" style="1" customWidth="1"/>
    <col min="9013" max="9013" width="20.6640625" style="1" customWidth="1"/>
    <col min="9014" max="9014" width="23.44140625" style="1" customWidth="1"/>
    <col min="9015" max="9015" width="20.6640625" style="1" customWidth="1"/>
    <col min="9016" max="9217" width="8.88671875" style="1"/>
    <col min="9218" max="9218" width="30.33203125" style="1" customWidth="1"/>
    <col min="9219" max="9219" width="12.33203125" style="1" customWidth="1"/>
    <col min="9220" max="9220" width="12.6640625" style="1" customWidth="1"/>
    <col min="9221" max="9221" width="15.44140625" style="1" customWidth="1"/>
    <col min="9222" max="9233" width="8.5546875" style="1" customWidth="1"/>
    <col min="9234" max="9266" width="5.6640625" style="1" customWidth="1"/>
    <col min="9267" max="9267" width="8.88671875" style="1"/>
    <col min="9268" max="9268" width="22.33203125" style="1" customWidth="1"/>
    <col min="9269" max="9269" width="20.6640625" style="1" customWidth="1"/>
    <col min="9270" max="9270" width="23.44140625" style="1" customWidth="1"/>
    <col min="9271" max="9271" width="20.6640625" style="1" customWidth="1"/>
    <col min="9272" max="9473" width="8.88671875" style="1"/>
    <col min="9474" max="9474" width="30.33203125" style="1" customWidth="1"/>
    <col min="9475" max="9475" width="12.33203125" style="1" customWidth="1"/>
    <col min="9476" max="9476" width="12.6640625" style="1" customWidth="1"/>
    <col min="9477" max="9477" width="15.44140625" style="1" customWidth="1"/>
    <col min="9478" max="9489" width="8.5546875" style="1" customWidth="1"/>
    <col min="9490" max="9522" width="5.6640625" style="1" customWidth="1"/>
    <col min="9523" max="9523" width="8.88671875" style="1"/>
    <col min="9524" max="9524" width="22.33203125" style="1" customWidth="1"/>
    <col min="9525" max="9525" width="20.6640625" style="1" customWidth="1"/>
    <col min="9526" max="9526" width="23.44140625" style="1" customWidth="1"/>
    <col min="9527" max="9527" width="20.6640625" style="1" customWidth="1"/>
    <col min="9528" max="9729" width="8.88671875" style="1"/>
    <col min="9730" max="9730" width="30.33203125" style="1" customWidth="1"/>
    <col min="9731" max="9731" width="12.33203125" style="1" customWidth="1"/>
    <col min="9732" max="9732" width="12.6640625" style="1" customWidth="1"/>
    <col min="9733" max="9733" width="15.44140625" style="1" customWidth="1"/>
    <col min="9734" max="9745" width="8.5546875" style="1" customWidth="1"/>
    <col min="9746" max="9778" width="5.6640625" style="1" customWidth="1"/>
    <col min="9779" max="9779" width="8.88671875" style="1"/>
    <col min="9780" max="9780" width="22.33203125" style="1" customWidth="1"/>
    <col min="9781" max="9781" width="20.6640625" style="1" customWidth="1"/>
    <col min="9782" max="9782" width="23.44140625" style="1" customWidth="1"/>
    <col min="9783" max="9783" width="20.6640625" style="1" customWidth="1"/>
    <col min="9784" max="9985" width="8.88671875" style="1"/>
    <col min="9986" max="9986" width="30.33203125" style="1" customWidth="1"/>
    <col min="9987" max="9987" width="12.33203125" style="1" customWidth="1"/>
    <col min="9988" max="9988" width="12.6640625" style="1" customWidth="1"/>
    <col min="9989" max="9989" width="15.44140625" style="1" customWidth="1"/>
    <col min="9990" max="10001" width="8.5546875" style="1" customWidth="1"/>
    <col min="10002" max="10034" width="5.6640625" style="1" customWidth="1"/>
    <col min="10035" max="10035" width="8.88671875" style="1"/>
    <col min="10036" max="10036" width="22.33203125" style="1" customWidth="1"/>
    <col min="10037" max="10037" width="20.6640625" style="1" customWidth="1"/>
    <col min="10038" max="10038" width="23.44140625" style="1" customWidth="1"/>
    <col min="10039" max="10039" width="20.6640625" style="1" customWidth="1"/>
    <col min="10040" max="10241" width="8.88671875" style="1"/>
    <col min="10242" max="10242" width="30.33203125" style="1" customWidth="1"/>
    <col min="10243" max="10243" width="12.33203125" style="1" customWidth="1"/>
    <col min="10244" max="10244" width="12.6640625" style="1" customWidth="1"/>
    <col min="10245" max="10245" width="15.44140625" style="1" customWidth="1"/>
    <col min="10246" max="10257" width="8.5546875" style="1" customWidth="1"/>
    <col min="10258" max="10290" width="5.6640625" style="1" customWidth="1"/>
    <col min="10291" max="10291" width="8.88671875" style="1"/>
    <col min="10292" max="10292" width="22.33203125" style="1" customWidth="1"/>
    <col min="10293" max="10293" width="20.6640625" style="1" customWidth="1"/>
    <col min="10294" max="10294" width="23.44140625" style="1" customWidth="1"/>
    <col min="10295" max="10295" width="20.6640625" style="1" customWidth="1"/>
    <col min="10296" max="10497" width="8.88671875" style="1"/>
    <col min="10498" max="10498" width="30.33203125" style="1" customWidth="1"/>
    <col min="10499" max="10499" width="12.33203125" style="1" customWidth="1"/>
    <col min="10500" max="10500" width="12.6640625" style="1" customWidth="1"/>
    <col min="10501" max="10501" width="15.44140625" style="1" customWidth="1"/>
    <col min="10502" max="10513" width="8.5546875" style="1" customWidth="1"/>
    <col min="10514" max="10546" width="5.6640625" style="1" customWidth="1"/>
    <col min="10547" max="10547" width="8.88671875" style="1"/>
    <col min="10548" max="10548" width="22.33203125" style="1" customWidth="1"/>
    <col min="10549" max="10549" width="20.6640625" style="1" customWidth="1"/>
    <col min="10550" max="10550" width="23.44140625" style="1" customWidth="1"/>
    <col min="10551" max="10551" width="20.6640625" style="1" customWidth="1"/>
    <col min="10552" max="10753" width="8.88671875" style="1"/>
    <col min="10754" max="10754" width="30.33203125" style="1" customWidth="1"/>
    <col min="10755" max="10755" width="12.33203125" style="1" customWidth="1"/>
    <col min="10756" max="10756" width="12.6640625" style="1" customWidth="1"/>
    <col min="10757" max="10757" width="15.44140625" style="1" customWidth="1"/>
    <col min="10758" max="10769" width="8.5546875" style="1" customWidth="1"/>
    <col min="10770" max="10802" width="5.6640625" style="1" customWidth="1"/>
    <col min="10803" max="10803" width="8.88671875" style="1"/>
    <col min="10804" max="10804" width="22.33203125" style="1" customWidth="1"/>
    <col min="10805" max="10805" width="20.6640625" style="1" customWidth="1"/>
    <col min="10806" max="10806" width="23.44140625" style="1" customWidth="1"/>
    <col min="10807" max="10807" width="20.6640625" style="1" customWidth="1"/>
    <col min="10808" max="11009" width="8.88671875" style="1"/>
    <col min="11010" max="11010" width="30.33203125" style="1" customWidth="1"/>
    <col min="11011" max="11011" width="12.33203125" style="1" customWidth="1"/>
    <col min="11012" max="11012" width="12.6640625" style="1" customWidth="1"/>
    <col min="11013" max="11013" width="15.44140625" style="1" customWidth="1"/>
    <col min="11014" max="11025" width="8.5546875" style="1" customWidth="1"/>
    <col min="11026" max="11058" width="5.6640625" style="1" customWidth="1"/>
    <col min="11059" max="11059" width="8.88671875" style="1"/>
    <col min="11060" max="11060" width="22.33203125" style="1" customWidth="1"/>
    <col min="11061" max="11061" width="20.6640625" style="1" customWidth="1"/>
    <col min="11062" max="11062" width="23.44140625" style="1" customWidth="1"/>
    <col min="11063" max="11063" width="20.6640625" style="1" customWidth="1"/>
    <col min="11064" max="11265" width="8.88671875" style="1"/>
    <col min="11266" max="11266" width="30.33203125" style="1" customWidth="1"/>
    <col min="11267" max="11267" width="12.33203125" style="1" customWidth="1"/>
    <col min="11268" max="11268" width="12.6640625" style="1" customWidth="1"/>
    <col min="11269" max="11269" width="15.44140625" style="1" customWidth="1"/>
    <col min="11270" max="11281" width="8.5546875" style="1" customWidth="1"/>
    <col min="11282" max="11314" width="5.6640625" style="1" customWidth="1"/>
    <col min="11315" max="11315" width="8.88671875" style="1"/>
    <col min="11316" max="11316" width="22.33203125" style="1" customWidth="1"/>
    <col min="11317" max="11317" width="20.6640625" style="1" customWidth="1"/>
    <col min="11318" max="11318" width="23.44140625" style="1" customWidth="1"/>
    <col min="11319" max="11319" width="20.6640625" style="1" customWidth="1"/>
    <col min="11320" max="11521" width="8.88671875" style="1"/>
    <col min="11522" max="11522" width="30.33203125" style="1" customWidth="1"/>
    <col min="11523" max="11523" width="12.33203125" style="1" customWidth="1"/>
    <col min="11524" max="11524" width="12.6640625" style="1" customWidth="1"/>
    <col min="11525" max="11525" width="15.44140625" style="1" customWidth="1"/>
    <col min="11526" max="11537" width="8.5546875" style="1" customWidth="1"/>
    <col min="11538" max="11570" width="5.6640625" style="1" customWidth="1"/>
    <col min="11571" max="11571" width="8.88671875" style="1"/>
    <col min="11572" max="11572" width="22.33203125" style="1" customWidth="1"/>
    <col min="11573" max="11573" width="20.6640625" style="1" customWidth="1"/>
    <col min="11574" max="11574" width="23.44140625" style="1" customWidth="1"/>
    <col min="11575" max="11575" width="20.6640625" style="1" customWidth="1"/>
    <col min="11576" max="11777" width="8.88671875" style="1"/>
    <col min="11778" max="11778" width="30.33203125" style="1" customWidth="1"/>
    <col min="11779" max="11779" width="12.33203125" style="1" customWidth="1"/>
    <col min="11780" max="11780" width="12.6640625" style="1" customWidth="1"/>
    <col min="11781" max="11781" width="15.44140625" style="1" customWidth="1"/>
    <col min="11782" max="11793" width="8.5546875" style="1" customWidth="1"/>
    <col min="11794" max="11826" width="5.6640625" style="1" customWidth="1"/>
    <col min="11827" max="11827" width="8.88671875" style="1"/>
    <col min="11828" max="11828" width="22.33203125" style="1" customWidth="1"/>
    <col min="11829" max="11829" width="20.6640625" style="1" customWidth="1"/>
    <col min="11830" max="11830" width="23.44140625" style="1" customWidth="1"/>
    <col min="11831" max="11831" width="20.6640625" style="1" customWidth="1"/>
    <col min="11832" max="12033" width="8.88671875" style="1"/>
    <col min="12034" max="12034" width="30.33203125" style="1" customWidth="1"/>
    <col min="12035" max="12035" width="12.33203125" style="1" customWidth="1"/>
    <col min="12036" max="12036" width="12.6640625" style="1" customWidth="1"/>
    <col min="12037" max="12037" width="15.44140625" style="1" customWidth="1"/>
    <col min="12038" max="12049" width="8.5546875" style="1" customWidth="1"/>
    <col min="12050" max="12082" width="5.6640625" style="1" customWidth="1"/>
    <col min="12083" max="12083" width="8.88671875" style="1"/>
    <col min="12084" max="12084" width="22.33203125" style="1" customWidth="1"/>
    <col min="12085" max="12085" width="20.6640625" style="1" customWidth="1"/>
    <col min="12086" max="12086" width="23.44140625" style="1" customWidth="1"/>
    <col min="12087" max="12087" width="20.6640625" style="1" customWidth="1"/>
    <col min="12088" max="12289" width="8.88671875" style="1"/>
    <col min="12290" max="12290" width="30.33203125" style="1" customWidth="1"/>
    <col min="12291" max="12291" width="12.33203125" style="1" customWidth="1"/>
    <col min="12292" max="12292" width="12.6640625" style="1" customWidth="1"/>
    <col min="12293" max="12293" width="15.44140625" style="1" customWidth="1"/>
    <col min="12294" max="12305" width="8.5546875" style="1" customWidth="1"/>
    <col min="12306" max="12338" width="5.6640625" style="1" customWidth="1"/>
    <col min="12339" max="12339" width="8.88671875" style="1"/>
    <col min="12340" max="12340" width="22.33203125" style="1" customWidth="1"/>
    <col min="12341" max="12341" width="20.6640625" style="1" customWidth="1"/>
    <col min="12342" max="12342" width="23.44140625" style="1" customWidth="1"/>
    <col min="12343" max="12343" width="20.6640625" style="1" customWidth="1"/>
    <col min="12344" max="12545" width="8.88671875" style="1"/>
    <col min="12546" max="12546" width="30.33203125" style="1" customWidth="1"/>
    <col min="12547" max="12547" width="12.33203125" style="1" customWidth="1"/>
    <col min="12548" max="12548" width="12.6640625" style="1" customWidth="1"/>
    <col min="12549" max="12549" width="15.44140625" style="1" customWidth="1"/>
    <col min="12550" max="12561" width="8.5546875" style="1" customWidth="1"/>
    <col min="12562" max="12594" width="5.6640625" style="1" customWidth="1"/>
    <col min="12595" max="12595" width="8.88671875" style="1"/>
    <col min="12596" max="12596" width="22.33203125" style="1" customWidth="1"/>
    <col min="12597" max="12597" width="20.6640625" style="1" customWidth="1"/>
    <col min="12598" max="12598" width="23.44140625" style="1" customWidth="1"/>
    <col min="12599" max="12599" width="20.6640625" style="1" customWidth="1"/>
    <col min="12600" max="12801" width="8.88671875" style="1"/>
    <col min="12802" max="12802" width="30.33203125" style="1" customWidth="1"/>
    <col min="12803" max="12803" width="12.33203125" style="1" customWidth="1"/>
    <col min="12804" max="12804" width="12.6640625" style="1" customWidth="1"/>
    <col min="12805" max="12805" width="15.44140625" style="1" customWidth="1"/>
    <col min="12806" max="12817" width="8.5546875" style="1" customWidth="1"/>
    <col min="12818" max="12850" width="5.6640625" style="1" customWidth="1"/>
    <col min="12851" max="12851" width="8.88671875" style="1"/>
    <col min="12852" max="12852" width="22.33203125" style="1" customWidth="1"/>
    <col min="12853" max="12853" width="20.6640625" style="1" customWidth="1"/>
    <col min="12854" max="12854" width="23.44140625" style="1" customWidth="1"/>
    <col min="12855" max="12855" width="20.6640625" style="1" customWidth="1"/>
    <col min="12856" max="13057" width="8.88671875" style="1"/>
    <col min="13058" max="13058" width="30.33203125" style="1" customWidth="1"/>
    <col min="13059" max="13059" width="12.33203125" style="1" customWidth="1"/>
    <col min="13060" max="13060" width="12.6640625" style="1" customWidth="1"/>
    <col min="13061" max="13061" width="15.44140625" style="1" customWidth="1"/>
    <col min="13062" max="13073" width="8.5546875" style="1" customWidth="1"/>
    <col min="13074" max="13106" width="5.6640625" style="1" customWidth="1"/>
    <col min="13107" max="13107" width="8.88671875" style="1"/>
    <col min="13108" max="13108" width="22.33203125" style="1" customWidth="1"/>
    <col min="13109" max="13109" width="20.6640625" style="1" customWidth="1"/>
    <col min="13110" max="13110" width="23.44140625" style="1" customWidth="1"/>
    <col min="13111" max="13111" width="20.6640625" style="1" customWidth="1"/>
    <col min="13112" max="13313" width="8.88671875" style="1"/>
    <col min="13314" max="13314" width="30.33203125" style="1" customWidth="1"/>
    <col min="13315" max="13315" width="12.33203125" style="1" customWidth="1"/>
    <col min="13316" max="13316" width="12.6640625" style="1" customWidth="1"/>
    <col min="13317" max="13317" width="15.44140625" style="1" customWidth="1"/>
    <col min="13318" max="13329" width="8.5546875" style="1" customWidth="1"/>
    <col min="13330" max="13362" width="5.6640625" style="1" customWidth="1"/>
    <col min="13363" max="13363" width="8.88671875" style="1"/>
    <col min="13364" max="13364" width="22.33203125" style="1" customWidth="1"/>
    <col min="13365" max="13365" width="20.6640625" style="1" customWidth="1"/>
    <col min="13366" max="13366" width="23.44140625" style="1" customWidth="1"/>
    <col min="13367" max="13367" width="20.6640625" style="1" customWidth="1"/>
    <col min="13368" max="13569" width="8.88671875" style="1"/>
    <col min="13570" max="13570" width="30.33203125" style="1" customWidth="1"/>
    <col min="13571" max="13571" width="12.33203125" style="1" customWidth="1"/>
    <col min="13572" max="13572" width="12.6640625" style="1" customWidth="1"/>
    <col min="13573" max="13573" width="15.44140625" style="1" customWidth="1"/>
    <col min="13574" max="13585" width="8.5546875" style="1" customWidth="1"/>
    <col min="13586" max="13618" width="5.6640625" style="1" customWidth="1"/>
    <col min="13619" max="13619" width="8.88671875" style="1"/>
    <col min="13620" max="13620" width="22.33203125" style="1" customWidth="1"/>
    <col min="13621" max="13621" width="20.6640625" style="1" customWidth="1"/>
    <col min="13622" max="13622" width="23.44140625" style="1" customWidth="1"/>
    <col min="13623" max="13623" width="20.6640625" style="1" customWidth="1"/>
    <col min="13624" max="13825" width="8.88671875" style="1"/>
    <col min="13826" max="13826" width="30.33203125" style="1" customWidth="1"/>
    <col min="13827" max="13827" width="12.33203125" style="1" customWidth="1"/>
    <col min="13828" max="13828" width="12.6640625" style="1" customWidth="1"/>
    <col min="13829" max="13829" width="15.44140625" style="1" customWidth="1"/>
    <col min="13830" max="13841" width="8.5546875" style="1" customWidth="1"/>
    <col min="13842" max="13874" width="5.6640625" style="1" customWidth="1"/>
    <col min="13875" max="13875" width="8.88671875" style="1"/>
    <col min="13876" max="13876" width="22.33203125" style="1" customWidth="1"/>
    <col min="13877" max="13877" width="20.6640625" style="1" customWidth="1"/>
    <col min="13878" max="13878" width="23.44140625" style="1" customWidth="1"/>
    <col min="13879" max="13879" width="20.6640625" style="1" customWidth="1"/>
    <col min="13880" max="14081" width="8.88671875" style="1"/>
    <col min="14082" max="14082" width="30.33203125" style="1" customWidth="1"/>
    <col min="14083" max="14083" width="12.33203125" style="1" customWidth="1"/>
    <col min="14084" max="14084" width="12.6640625" style="1" customWidth="1"/>
    <col min="14085" max="14085" width="15.44140625" style="1" customWidth="1"/>
    <col min="14086" max="14097" width="8.5546875" style="1" customWidth="1"/>
    <col min="14098" max="14130" width="5.6640625" style="1" customWidth="1"/>
    <col min="14131" max="14131" width="8.88671875" style="1"/>
    <col min="14132" max="14132" width="22.33203125" style="1" customWidth="1"/>
    <col min="14133" max="14133" width="20.6640625" style="1" customWidth="1"/>
    <col min="14134" max="14134" width="23.44140625" style="1" customWidth="1"/>
    <col min="14135" max="14135" width="20.6640625" style="1" customWidth="1"/>
    <col min="14136" max="14337" width="8.88671875" style="1"/>
    <col min="14338" max="14338" width="30.33203125" style="1" customWidth="1"/>
    <col min="14339" max="14339" width="12.33203125" style="1" customWidth="1"/>
    <col min="14340" max="14340" width="12.6640625" style="1" customWidth="1"/>
    <col min="14341" max="14341" width="15.44140625" style="1" customWidth="1"/>
    <col min="14342" max="14353" width="8.5546875" style="1" customWidth="1"/>
    <col min="14354" max="14386" width="5.6640625" style="1" customWidth="1"/>
    <col min="14387" max="14387" width="8.88671875" style="1"/>
    <col min="14388" max="14388" width="22.33203125" style="1" customWidth="1"/>
    <col min="14389" max="14389" width="20.6640625" style="1" customWidth="1"/>
    <col min="14390" max="14390" width="23.44140625" style="1" customWidth="1"/>
    <col min="14391" max="14391" width="20.6640625" style="1" customWidth="1"/>
    <col min="14392" max="14593" width="8.88671875" style="1"/>
    <col min="14594" max="14594" width="30.33203125" style="1" customWidth="1"/>
    <col min="14595" max="14595" width="12.33203125" style="1" customWidth="1"/>
    <col min="14596" max="14596" width="12.6640625" style="1" customWidth="1"/>
    <col min="14597" max="14597" width="15.44140625" style="1" customWidth="1"/>
    <col min="14598" max="14609" width="8.5546875" style="1" customWidth="1"/>
    <col min="14610" max="14642" width="5.6640625" style="1" customWidth="1"/>
    <col min="14643" max="14643" width="8.88671875" style="1"/>
    <col min="14644" max="14644" width="22.33203125" style="1" customWidth="1"/>
    <col min="14645" max="14645" width="20.6640625" style="1" customWidth="1"/>
    <col min="14646" max="14646" width="23.44140625" style="1" customWidth="1"/>
    <col min="14647" max="14647" width="20.6640625" style="1" customWidth="1"/>
    <col min="14648" max="14849" width="8.88671875" style="1"/>
    <col min="14850" max="14850" width="30.33203125" style="1" customWidth="1"/>
    <col min="14851" max="14851" width="12.33203125" style="1" customWidth="1"/>
    <col min="14852" max="14852" width="12.6640625" style="1" customWidth="1"/>
    <col min="14853" max="14853" width="15.44140625" style="1" customWidth="1"/>
    <col min="14854" max="14865" width="8.5546875" style="1" customWidth="1"/>
    <col min="14866" max="14898" width="5.6640625" style="1" customWidth="1"/>
    <col min="14899" max="14899" width="8.88671875" style="1"/>
    <col min="14900" max="14900" width="22.33203125" style="1" customWidth="1"/>
    <col min="14901" max="14901" width="20.6640625" style="1" customWidth="1"/>
    <col min="14902" max="14902" width="23.44140625" style="1" customWidth="1"/>
    <col min="14903" max="14903" width="20.6640625" style="1" customWidth="1"/>
    <col min="14904" max="15105" width="8.88671875" style="1"/>
    <col min="15106" max="15106" width="30.33203125" style="1" customWidth="1"/>
    <col min="15107" max="15107" width="12.33203125" style="1" customWidth="1"/>
    <col min="15108" max="15108" width="12.6640625" style="1" customWidth="1"/>
    <col min="15109" max="15109" width="15.44140625" style="1" customWidth="1"/>
    <col min="15110" max="15121" width="8.5546875" style="1" customWidth="1"/>
    <col min="15122" max="15154" width="5.6640625" style="1" customWidth="1"/>
    <col min="15155" max="15155" width="8.88671875" style="1"/>
    <col min="15156" max="15156" width="22.33203125" style="1" customWidth="1"/>
    <col min="15157" max="15157" width="20.6640625" style="1" customWidth="1"/>
    <col min="15158" max="15158" width="23.44140625" style="1" customWidth="1"/>
    <col min="15159" max="15159" width="20.6640625" style="1" customWidth="1"/>
    <col min="15160" max="15361" width="8.88671875" style="1"/>
    <col min="15362" max="15362" width="30.33203125" style="1" customWidth="1"/>
    <col min="15363" max="15363" width="12.33203125" style="1" customWidth="1"/>
    <col min="15364" max="15364" width="12.6640625" style="1" customWidth="1"/>
    <col min="15365" max="15365" width="15.44140625" style="1" customWidth="1"/>
    <col min="15366" max="15377" width="8.5546875" style="1" customWidth="1"/>
    <col min="15378" max="15410" width="5.6640625" style="1" customWidth="1"/>
    <col min="15411" max="15411" width="8.88671875" style="1"/>
    <col min="15412" max="15412" width="22.33203125" style="1" customWidth="1"/>
    <col min="15413" max="15413" width="20.6640625" style="1" customWidth="1"/>
    <col min="15414" max="15414" width="23.44140625" style="1" customWidth="1"/>
    <col min="15415" max="15415" width="20.6640625" style="1" customWidth="1"/>
    <col min="15416" max="15617" width="8.88671875" style="1"/>
    <col min="15618" max="15618" width="30.33203125" style="1" customWidth="1"/>
    <col min="15619" max="15619" width="12.33203125" style="1" customWidth="1"/>
    <col min="15620" max="15620" width="12.6640625" style="1" customWidth="1"/>
    <col min="15621" max="15621" width="15.44140625" style="1" customWidth="1"/>
    <col min="15622" max="15633" width="8.5546875" style="1" customWidth="1"/>
    <col min="15634" max="15666" width="5.6640625" style="1" customWidth="1"/>
    <col min="15667" max="15667" width="8.88671875" style="1"/>
    <col min="15668" max="15668" width="22.33203125" style="1" customWidth="1"/>
    <col min="15669" max="15669" width="20.6640625" style="1" customWidth="1"/>
    <col min="15670" max="15670" width="23.44140625" style="1" customWidth="1"/>
    <col min="15671" max="15671" width="20.6640625" style="1" customWidth="1"/>
    <col min="15672" max="15873" width="8.88671875" style="1"/>
    <col min="15874" max="15874" width="30.33203125" style="1" customWidth="1"/>
    <col min="15875" max="15875" width="12.33203125" style="1" customWidth="1"/>
    <col min="15876" max="15876" width="12.6640625" style="1" customWidth="1"/>
    <col min="15877" max="15877" width="15.44140625" style="1" customWidth="1"/>
    <col min="15878" max="15889" width="8.5546875" style="1" customWidth="1"/>
    <col min="15890" max="15922" width="5.6640625" style="1" customWidth="1"/>
    <col min="15923" max="15923" width="8.88671875" style="1"/>
    <col min="15924" max="15924" width="22.33203125" style="1" customWidth="1"/>
    <col min="15925" max="15925" width="20.6640625" style="1" customWidth="1"/>
    <col min="15926" max="15926" width="23.44140625" style="1" customWidth="1"/>
    <col min="15927" max="15927" width="20.6640625" style="1" customWidth="1"/>
    <col min="15928" max="16129" width="8.88671875" style="1"/>
    <col min="16130" max="16130" width="30.33203125" style="1" customWidth="1"/>
    <col min="16131" max="16131" width="12.33203125" style="1" customWidth="1"/>
    <col min="16132" max="16132" width="12.6640625" style="1" customWidth="1"/>
    <col min="16133" max="16133" width="15.44140625" style="1" customWidth="1"/>
    <col min="16134" max="16145" width="8.5546875" style="1" customWidth="1"/>
    <col min="16146" max="16178" width="5.6640625" style="1" customWidth="1"/>
    <col min="16179" max="16179" width="8.88671875" style="1"/>
    <col min="16180" max="16180" width="22.33203125" style="1" customWidth="1"/>
    <col min="16181" max="16181" width="20.6640625" style="1" customWidth="1"/>
    <col min="16182" max="16182" width="23.44140625" style="1" customWidth="1"/>
    <col min="16183" max="16183" width="20.6640625" style="1" customWidth="1"/>
    <col min="16184" max="16384" width="8.88671875" style="1"/>
  </cols>
  <sheetData>
    <row r="1" spans="1:53" ht="13.8" thickBot="1" x14ac:dyDescent="0.3"/>
    <row r="2" spans="1:53" ht="24.75" customHeight="1" thickTop="1" x14ac:dyDescent="0.25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ht="30.75" customHeight="1" x14ac:dyDescent="0.25">
      <c r="A3" s="8"/>
      <c r="B3" s="9"/>
      <c r="C3" s="10" t="s"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1"/>
      <c r="P3" s="11"/>
      <c r="Q3" s="12"/>
      <c r="T3" s="13"/>
      <c r="U3" s="14"/>
      <c r="V3" s="14"/>
      <c r="W3" s="14"/>
      <c r="X3" s="14"/>
      <c r="Y3" s="14"/>
      <c r="Z3" s="14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4"/>
      <c r="AV3" s="14"/>
      <c r="AW3" s="14"/>
      <c r="AX3" s="16"/>
      <c r="AY3" s="16"/>
      <c r="AZ3" s="16"/>
      <c r="BA3" s="14"/>
    </row>
    <row r="4" spans="1:53" ht="24.75" customHeight="1" x14ac:dyDescent="0.25">
      <c r="A4" s="8"/>
      <c r="B4" s="9"/>
      <c r="C4" s="17" t="s">
        <v>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1"/>
      <c r="O4" s="11"/>
      <c r="P4" s="11"/>
      <c r="Q4" s="12"/>
      <c r="T4" s="14"/>
      <c r="U4" s="14"/>
      <c r="V4" s="14"/>
      <c r="W4" s="14"/>
      <c r="X4" s="14"/>
      <c r="Y4" s="14"/>
      <c r="Z4" s="14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4"/>
      <c r="AV4" s="14"/>
      <c r="AW4" s="14"/>
      <c r="AX4" s="18"/>
      <c r="AY4" s="18"/>
      <c r="AZ4" s="18"/>
      <c r="BA4" s="14"/>
    </row>
    <row r="5" spans="1:53" ht="56.25" customHeight="1" thickBot="1" x14ac:dyDescent="0.3">
      <c r="A5" s="19"/>
      <c r="B5" s="20"/>
      <c r="C5" s="21" t="s">
        <v>2</v>
      </c>
      <c r="D5" s="21"/>
      <c r="E5" s="21"/>
      <c r="F5" s="21"/>
      <c r="G5" s="21"/>
      <c r="H5" s="22"/>
      <c r="I5" s="22"/>
      <c r="J5" s="21"/>
      <c r="K5" s="21"/>
      <c r="L5" s="21"/>
      <c r="M5" s="21"/>
      <c r="N5" s="23"/>
      <c r="O5" s="23"/>
      <c r="P5" s="23"/>
      <c r="Q5" s="24"/>
      <c r="T5" s="14"/>
      <c r="U5" s="14"/>
      <c r="V5" s="14"/>
      <c r="W5" s="14"/>
      <c r="X5" s="14"/>
      <c r="Y5" s="14"/>
      <c r="Z5" s="14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14"/>
      <c r="AV5" s="14"/>
      <c r="AW5" s="14"/>
      <c r="AX5" s="16"/>
      <c r="AY5" s="16"/>
      <c r="AZ5" s="16"/>
      <c r="BA5" s="14"/>
    </row>
    <row r="6" spans="1:53" ht="14.25" customHeight="1" thickTop="1" x14ac:dyDescent="0.2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7"/>
      <c r="Q6" s="7"/>
      <c r="R6" s="7"/>
      <c r="S6" s="7"/>
      <c r="T6" s="14"/>
      <c r="U6" s="14"/>
      <c r="V6" s="14"/>
      <c r="W6" s="14"/>
      <c r="X6" s="14"/>
      <c r="Y6" s="28"/>
      <c r="Z6" s="14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14"/>
      <c r="AV6" s="14"/>
      <c r="AW6" s="14"/>
      <c r="AX6" s="30"/>
      <c r="AY6" s="16"/>
      <c r="AZ6" s="16"/>
      <c r="BA6" s="14"/>
    </row>
    <row r="7" spans="1:53" ht="14.25" customHeight="1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7"/>
      <c r="O7" s="7"/>
      <c r="P7" s="7"/>
      <c r="Q7" s="7"/>
      <c r="R7" s="7"/>
      <c r="S7" s="7"/>
      <c r="T7" s="14"/>
      <c r="U7" s="14"/>
      <c r="V7" s="14"/>
      <c r="W7" s="14"/>
      <c r="X7" s="14"/>
      <c r="Y7" s="28"/>
      <c r="Z7" s="14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14"/>
      <c r="AV7" s="14"/>
      <c r="AW7" s="14"/>
      <c r="AX7" s="32"/>
      <c r="AY7" s="33"/>
      <c r="AZ7" s="33"/>
      <c r="BA7" s="14"/>
    </row>
    <row r="8" spans="1:53" ht="14.25" customHeight="1" thickBot="1" x14ac:dyDescent="0.3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7"/>
      <c r="O8" s="7"/>
      <c r="P8" s="7"/>
      <c r="Q8" s="7"/>
      <c r="R8" s="7"/>
      <c r="S8" s="7"/>
      <c r="T8" s="14"/>
      <c r="U8" s="14"/>
      <c r="V8" s="14"/>
      <c r="W8" s="14"/>
      <c r="X8" s="14"/>
      <c r="Y8" s="28"/>
      <c r="Z8" s="14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14"/>
      <c r="AV8" s="14"/>
      <c r="AW8" s="14"/>
      <c r="AX8" s="32"/>
      <c r="AY8" s="33"/>
      <c r="AZ8" s="33"/>
      <c r="BA8" s="14"/>
    </row>
    <row r="9" spans="1:53" ht="42.75" customHeight="1" thickTop="1" thickBot="1" x14ac:dyDescent="0.3">
      <c r="A9" s="34" t="s">
        <v>3</v>
      </c>
      <c r="B9" s="35"/>
      <c r="C9" s="36"/>
      <c r="D9" s="37" t="s">
        <v>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8"/>
      <c r="R9" s="7"/>
      <c r="S9" s="7"/>
      <c r="T9" s="14"/>
      <c r="U9" s="14"/>
      <c r="V9" s="14"/>
      <c r="W9" s="14"/>
      <c r="X9" s="14"/>
      <c r="Y9" s="28"/>
      <c r="Z9" s="14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14"/>
      <c r="AV9" s="14"/>
      <c r="AW9" s="14"/>
      <c r="AX9" s="40"/>
      <c r="AY9" s="33"/>
      <c r="AZ9" s="33"/>
      <c r="BA9" s="14"/>
    </row>
    <row r="10" spans="1:53" ht="42.75" customHeight="1" thickBot="1" x14ac:dyDescent="0.3">
      <c r="A10" s="41" t="s">
        <v>5</v>
      </c>
      <c r="B10" s="42">
        <v>46010</v>
      </c>
      <c r="C10" s="43" t="s">
        <v>6</v>
      </c>
      <c r="D10" s="44" t="s">
        <v>7</v>
      </c>
      <c r="E10" s="45" t="s">
        <v>8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7"/>
      <c r="R10" s="7"/>
      <c r="S10" s="7"/>
      <c r="T10" s="14"/>
      <c r="U10" s="14"/>
      <c r="V10" s="14"/>
      <c r="W10" s="14"/>
      <c r="X10" s="14"/>
      <c r="Y10" s="14"/>
      <c r="Z10" s="14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14"/>
      <c r="AV10" s="14"/>
      <c r="AW10" s="14"/>
      <c r="AX10" s="49"/>
      <c r="AY10" s="49"/>
      <c r="AZ10" s="49"/>
      <c r="BA10" s="14"/>
    </row>
    <row r="11" spans="1:53" ht="21.75" customHeight="1" thickBot="1" x14ac:dyDescent="0.3">
      <c r="A11" s="50" t="s">
        <v>9</v>
      </c>
      <c r="B11" s="51"/>
      <c r="C11" s="51" t="s">
        <v>10</v>
      </c>
      <c r="D11" s="52"/>
      <c r="E11" s="53">
        <v>40</v>
      </c>
      <c r="F11" s="51">
        <v>31.5</v>
      </c>
      <c r="G11" s="51">
        <v>22.4</v>
      </c>
      <c r="H11" s="54">
        <v>16</v>
      </c>
      <c r="I11" s="54">
        <v>11.2</v>
      </c>
      <c r="J11" s="54">
        <v>8</v>
      </c>
      <c r="K11" s="54">
        <v>4</v>
      </c>
      <c r="L11" s="54">
        <v>2</v>
      </c>
      <c r="M11" s="54">
        <v>1</v>
      </c>
      <c r="N11" s="51">
        <v>0.5</v>
      </c>
      <c r="O11" s="51">
        <v>0.25</v>
      </c>
      <c r="P11" s="51">
        <v>0.15</v>
      </c>
      <c r="Q11" s="55">
        <v>6.3E-2</v>
      </c>
      <c r="R11" s="7"/>
      <c r="S11" s="7"/>
      <c r="T11" s="14"/>
      <c r="U11" s="14"/>
      <c r="V11" s="14"/>
      <c r="W11" s="14"/>
      <c r="X11" s="14"/>
      <c r="Y11" s="14"/>
      <c r="Z11" s="1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14"/>
      <c r="AV11" s="14"/>
      <c r="AW11" s="14"/>
      <c r="AX11" s="49"/>
      <c r="AY11" s="49"/>
      <c r="AZ11" s="49"/>
      <c r="BA11" s="14"/>
    </row>
    <row r="12" spans="1:53" ht="26.25" customHeight="1" thickBot="1" x14ac:dyDescent="0.3">
      <c r="A12" s="56" t="s">
        <v>11</v>
      </c>
      <c r="B12" s="57" t="s">
        <v>12</v>
      </c>
      <c r="C12" s="58">
        <v>390</v>
      </c>
      <c r="D12" s="59" t="s">
        <v>13</v>
      </c>
      <c r="E12" s="60">
        <v>100</v>
      </c>
      <c r="F12" s="61">
        <v>100</v>
      </c>
      <c r="G12" s="61">
        <v>97.7</v>
      </c>
      <c r="H12" s="62">
        <v>47.4</v>
      </c>
      <c r="I12" s="62">
        <v>3.5</v>
      </c>
      <c r="J12" s="62">
        <v>2.2999999999999998</v>
      </c>
      <c r="K12" s="62">
        <v>2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3">
        <v>0</v>
      </c>
      <c r="R12" s="7"/>
      <c r="S12" s="64"/>
      <c r="T12" s="65"/>
      <c r="U12" s="66"/>
      <c r="V12" s="66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68" t="s">
        <v>14</v>
      </c>
      <c r="AS12" s="69" t="s">
        <v>15</v>
      </c>
      <c r="AT12" s="70"/>
      <c r="AU12" s="71"/>
      <c r="AV12" s="72" t="s">
        <v>16</v>
      </c>
      <c r="AW12" s="7"/>
      <c r="AX12" s="7"/>
      <c r="AY12" s="7"/>
      <c r="AZ12" s="7"/>
      <c r="BA12" s="7"/>
    </row>
    <row r="13" spans="1:53" ht="26.25" customHeight="1" thickBot="1" x14ac:dyDescent="0.3">
      <c r="A13" s="56" t="s">
        <v>17</v>
      </c>
      <c r="B13" s="58"/>
      <c r="C13" s="58">
        <v>145</v>
      </c>
      <c r="D13" s="59" t="s">
        <v>18</v>
      </c>
      <c r="E13" s="60">
        <v>100</v>
      </c>
      <c r="F13" s="61">
        <v>100</v>
      </c>
      <c r="G13" s="61">
        <v>100</v>
      </c>
      <c r="H13" s="62">
        <v>100</v>
      </c>
      <c r="I13" s="62">
        <v>88</v>
      </c>
      <c r="J13" s="62">
        <v>55.2</v>
      </c>
      <c r="K13" s="62">
        <v>3.9</v>
      </c>
      <c r="L13" s="62">
        <v>1.3</v>
      </c>
      <c r="M13" s="62">
        <v>1</v>
      </c>
      <c r="N13" s="62">
        <v>1</v>
      </c>
      <c r="O13" s="62">
        <v>1</v>
      </c>
      <c r="P13" s="62">
        <v>0.9</v>
      </c>
      <c r="Q13" s="62">
        <v>0.8</v>
      </c>
      <c r="R13" s="7"/>
      <c r="S13" s="64"/>
      <c r="T13" s="65"/>
      <c r="U13" s="66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3"/>
      <c r="AS13" s="74" t="s">
        <v>19</v>
      </c>
      <c r="AT13" s="74" t="s">
        <v>20</v>
      </c>
      <c r="AU13" s="74" t="s">
        <v>21</v>
      </c>
      <c r="AV13" s="75"/>
      <c r="AW13" s="7"/>
      <c r="AX13" s="7"/>
      <c r="AY13" s="7"/>
      <c r="AZ13" s="7"/>
      <c r="BA13" s="7"/>
    </row>
    <row r="14" spans="1:53" ht="25.5" customHeight="1" thickBot="1" x14ac:dyDescent="0.35">
      <c r="A14" s="59" t="s">
        <v>13</v>
      </c>
      <c r="B14" s="76" t="s">
        <v>22</v>
      </c>
      <c r="C14" s="76">
        <v>30</v>
      </c>
      <c r="D14" s="77" t="s">
        <v>23</v>
      </c>
      <c r="E14" s="60">
        <v>100</v>
      </c>
      <c r="F14" s="61">
        <v>100</v>
      </c>
      <c r="G14" s="61">
        <v>100</v>
      </c>
      <c r="H14" s="78">
        <v>100</v>
      </c>
      <c r="I14" s="78">
        <v>100</v>
      </c>
      <c r="J14" s="78">
        <v>100</v>
      </c>
      <c r="K14" s="62">
        <v>97.3</v>
      </c>
      <c r="L14" s="62">
        <v>66.2</v>
      </c>
      <c r="M14" s="62">
        <v>44.4</v>
      </c>
      <c r="N14" s="62">
        <v>31.7</v>
      </c>
      <c r="O14" s="79">
        <v>22.6</v>
      </c>
      <c r="P14" s="62">
        <v>15.5</v>
      </c>
      <c r="Q14" s="80">
        <v>10</v>
      </c>
      <c r="R14" s="7"/>
      <c r="S14" s="81"/>
      <c r="T14" s="65"/>
      <c r="U14" s="66"/>
      <c r="V14" s="66"/>
      <c r="W14" s="82"/>
      <c r="X14" s="82"/>
      <c r="Y14" s="82"/>
      <c r="Z14" s="67"/>
      <c r="AA14" s="67"/>
      <c r="AB14" s="67"/>
      <c r="AC14" s="67"/>
      <c r="AD14" s="83"/>
      <c r="AE14" s="67"/>
      <c r="AF14" s="83"/>
      <c r="AG14" s="83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84">
        <v>6.3E-2</v>
      </c>
      <c r="AS14" s="85">
        <v>1</v>
      </c>
      <c r="AT14" s="86">
        <v>3</v>
      </c>
      <c r="AU14" s="85">
        <v>5</v>
      </c>
      <c r="AV14" s="87">
        <f>Q17</f>
        <v>3.62</v>
      </c>
      <c r="AW14" s="7"/>
      <c r="AX14" s="7"/>
      <c r="AY14" s="7"/>
      <c r="AZ14" s="7"/>
      <c r="BA14" s="7"/>
    </row>
    <row r="15" spans="1:53" ht="26.25" customHeight="1" thickBot="1" x14ac:dyDescent="0.35">
      <c r="A15" s="59" t="s">
        <v>18</v>
      </c>
      <c r="B15" s="76" t="s">
        <v>22</v>
      </c>
      <c r="C15" s="76">
        <v>20</v>
      </c>
      <c r="D15" s="77" t="s">
        <v>24</v>
      </c>
      <c r="E15" s="60">
        <v>100</v>
      </c>
      <c r="F15" s="61">
        <v>100</v>
      </c>
      <c r="G15" s="61">
        <v>100</v>
      </c>
      <c r="H15" s="78">
        <v>100</v>
      </c>
      <c r="I15" s="78">
        <v>100</v>
      </c>
      <c r="J15" s="78">
        <v>99.6</v>
      </c>
      <c r="K15" s="62">
        <v>76.900000000000006</v>
      </c>
      <c r="L15" s="62">
        <v>51.2</v>
      </c>
      <c r="M15" s="62">
        <v>32.6</v>
      </c>
      <c r="N15" s="62">
        <v>20.399999999999999</v>
      </c>
      <c r="O15" s="79">
        <v>11.7</v>
      </c>
      <c r="P15" s="62">
        <v>5.4</v>
      </c>
      <c r="Q15" s="80">
        <v>2.2999999999999998</v>
      </c>
      <c r="R15" s="7"/>
      <c r="S15" s="81"/>
      <c r="T15" s="65"/>
      <c r="U15" s="66"/>
      <c r="V15" s="66"/>
      <c r="W15" s="82"/>
      <c r="X15" s="82"/>
      <c r="Y15" s="82"/>
      <c r="Z15" s="67"/>
      <c r="AA15" s="67"/>
      <c r="AB15" s="67"/>
      <c r="AC15" s="67"/>
      <c r="AD15" s="83"/>
      <c r="AE15" s="67"/>
      <c r="AF15" s="83"/>
      <c r="AG15" s="83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4">
        <v>0.15</v>
      </c>
      <c r="AS15" s="85">
        <v>3</v>
      </c>
      <c r="AT15" s="86">
        <v>7</v>
      </c>
      <c r="AU15" s="85">
        <v>10</v>
      </c>
      <c r="AV15" s="87">
        <f>P17</f>
        <v>5.91</v>
      </c>
      <c r="AW15" s="7"/>
      <c r="AX15" s="7"/>
      <c r="AY15" s="7"/>
      <c r="AZ15" s="7"/>
      <c r="BA15" s="7"/>
    </row>
    <row r="16" spans="1:53" s="90" customFormat="1" ht="27" customHeight="1" thickBot="1" x14ac:dyDescent="0.35">
      <c r="A16" s="77" t="s">
        <v>23</v>
      </c>
      <c r="B16" s="76" t="s">
        <v>22</v>
      </c>
      <c r="C16" s="76">
        <v>30</v>
      </c>
      <c r="D16" s="51" t="s">
        <v>25</v>
      </c>
      <c r="E16" s="88">
        <v>100</v>
      </c>
      <c r="F16" s="88">
        <v>96</v>
      </c>
      <c r="G16" s="88">
        <v>91</v>
      </c>
      <c r="H16" s="88">
        <v>82</v>
      </c>
      <c r="I16" s="88">
        <v>70</v>
      </c>
      <c r="J16" s="88">
        <v>56</v>
      </c>
      <c r="K16" s="88">
        <v>45</v>
      </c>
      <c r="L16" s="88">
        <v>35</v>
      </c>
      <c r="M16" s="88">
        <v>26</v>
      </c>
      <c r="N16" s="88">
        <v>19</v>
      </c>
      <c r="O16" s="88">
        <v>12</v>
      </c>
      <c r="P16" s="88">
        <v>7</v>
      </c>
      <c r="Q16" s="89">
        <v>3</v>
      </c>
      <c r="S16" s="25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R16" s="84">
        <v>0.25</v>
      </c>
      <c r="AS16" s="85">
        <v>6</v>
      </c>
      <c r="AT16" s="86">
        <v>12</v>
      </c>
      <c r="AU16" s="85">
        <v>18</v>
      </c>
      <c r="AV16" s="92">
        <f>O17</f>
        <v>9.32</v>
      </c>
    </row>
    <row r="17" spans="1:57" ht="27" customHeight="1" thickBot="1" x14ac:dyDescent="0.35">
      <c r="A17" s="77" t="s">
        <v>24</v>
      </c>
      <c r="B17" s="76" t="s">
        <v>22</v>
      </c>
      <c r="C17" s="76">
        <v>20</v>
      </c>
      <c r="D17" s="93" t="s">
        <v>26</v>
      </c>
      <c r="E17" s="94">
        <v>100</v>
      </c>
      <c r="F17" s="95">
        <f>($C$14*F12+$C$15*F13+$C$16*F14+$C$17*F15+$C$18*F16)/100</f>
        <v>100</v>
      </c>
      <c r="G17" s="95">
        <f>($C$14*G12+$C$15*G13+$C$16*G14+$C$17*G15+$C$18*G16)/100</f>
        <v>99.31</v>
      </c>
      <c r="H17" s="95">
        <f>($C$14*H12+$C$15*H13+$C$16*H14+$C$17*H15+$C$18*H16)/100</f>
        <v>84.22</v>
      </c>
      <c r="I17" s="95">
        <f>($C$14*I12+$C$15*I13+$C$16*I14+$C$17*I15+$C$18*I16)/100</f>
        <v>68.650000000000006</v>
      </c>
      <c r="J17" s="95">
        <f t="shared" ref="J17:Q17" si="0">($C$14*J12+$C$15*J13+$C$16*J14+$C$17*J15+$C$18*J16)/100</f>
        <v>61.65</v>
      </c>
      <c r="K17" s="95">
        <f t="shared" si="0"/>
        <v>45.95</v>
      </c>
      <c r="L17" s="96">
        <f>($C$14*L12+$C$15*L13+$C$16*L14+$C$17*L15+$C$18*L16)/100</f>
        <v>30.36</v>
      </c>
      <c r="M17" s="96">
        <f t="shared" si="0"/>
        <v>20.04</v>
      </c>
      <c r="N17" s="95">
        <f t="shared" si="0"/>
        <v>13.79</v>
      </c>
      <c r="O17" s="95">
        <f t="shared" si="0"/>
        <v>9.32</v>
      </c>
      <c r="P17" s="95">
        <f t="shared" si="0"/>
        <v>5.91</v>
      </c>
      <c r="Q17" s="97">
        <f t="shared" si="0"/>
        <v>3.62</v>
      </c>
      <c r="S17" s="98"/>
      <c r="T17" s="99"/>
      <c r="U17" s="100"/>
      <c r="V17" s="100"/>
      <c r="W17" s="100"/>
      <c r="X17" s="100"/>
      <c r="Y17" s="100"/>
      <c r="Z17" s="100"/>
      <c r="AA17" s="101"/>
      <c r="AB17" s="101"/>
      <c r="AC17" s="100"/>
      <c r="AD17" s="100"/>
      <c r="AE17" s="100"/>
      <c r="AF17" s="101"/>
      <c r="AG17" s="102"/>
      <c r="AR17" s="84">
        <v>0.5</v>
      </c>
      <c r="AS17" s="85">
        <v>10</v>
      </c>
      <c r="AT17" s="86">
        <v>19</v>
      </c>
      <c r="AU17" s="85">
        <v>28</v>
      </c>
      <c r="AV17" s="87">
        <f>N17</f>
        <v>13.79</v>
      </c>
    </row>
    <row r="18" spans="1:57" ht="21.75" customHeight="1" thickBot="1" x14ac:dyDescent="0.35">
      <c r="A18" s="56"/>
      <c r="B18" s="58"/>
      <c r="C18" s="58"/>
      <c r="D18" s="103"/>
      <c r="E18" s="104"/>
      <c r="F18" s="95"/>
      <c r="G18" s="95"/>
      <c r="H18" s="95"/>
      <c r="I18" s="95"/>
      <c r="J18" s="95"/>
      <c r="K18" s="95"/>
      <c r="L18" s="96"/>
      <c r="M18" s="96"/>
      <c r="N18" s="95"/>
      <c r="O18" s="95"/>
      <c r="P18" s="95"/>
      <c r="Q18" s="97"/>
      <c r="S18" s="98"/>
      <c r="T18" s="99"/>
      <c r="U18" s="100"/>
      <c r="V18" s="100"/>
      <c r="W18" s="100"/>
      <c r="X18" s="100"/>
      <c r="Y18" s="100"/>
      <c r="Z18" s="100"/>
      <c r="AA18" s="101"/>
      <c r="AB18" s="101"/>
      <c r="AC18" s="100"/>
      <c r="AD18" s="100"/>
      <c r="AE18" s="100"/>
      <c r="AF18" s="101"/>
      <c r="AG18" s="102"/>
      <c r="AR18" s="84">
        <v>1</v>
      </c>
      <c r="AS18" s="85">
        <v>14</v>
      </c>
      <c r="AT18" s="86">
        <v>26</v>
      </c>
      <c r="AU18" s="85">
        <v>38</v>
      </c>
      <c r="AV18" s="87">
        <f>M17</f>
        <v>20.04</v>
      </c>
    </row>
    <row r="19" spans="1:57" ht="21.75" customHeight="1" thickBot="1" x14ac:dyDescent="0.35">
      <c r="A19" s="56" t="s">
        <v>27</v>
      </c>
      <c r="B19" s="105"/>
      <c r="C19" s="106">
        <f>SUM(C14:C18)</f>
        <v>100</v>
      </c>
      <c r="D19" s="107" t="s">
        <v>28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8">
        <f>C13/(C12+(C20*C21))</f>
        <v>0.37179487179487181</v>
      </c>
      <c r="P19" s="108"/>
      <c r="Q19" s="109"/>
      <c r="AR19" s="84">
        <v>2</v>
      </c>
      <c r="AS19" s="85">
        <v>20</v>
      </c>
      <c r="AT19" s="86">
        <v>35</v>
      </c>
      <c r="AU19" s="85">
        <v>48</v>
      </c>
      <c r="AV19" s="87">
        <f>L17</f>
        <v>30.36</v>
      </c>
    </row>
    <row r="20" spans="1:57" ht="21.75" customHeight="1" thickBot="1" x14ac:dyDescent="0.35">
      <c r="A20" s="56" t="s">
        <v>29</v>
      </c>
      <c r="B20" s="58"/>
      <c r="C20" s="110">
        <v>0</v>
      </c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8"/>
      <c r="P20" s="108"/>
      <c r="Q20" s="109"/>
      <c r="R20" s="7"/>
      <c r="S20" s="7"/>
      <c r="T20" s="7"/>
      <c r="X20" s="111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4">
        <v>4</v>
      </c>
      <c r="AS20" s="85">
        <v>29</v>
      </c>
      <c r="AT20" s="86">
        <v>45</v>
      </c>
      <c r="AU20" s="85">
        <v>59</v>
      </c>
      <c r="AV20" s="87">
        <f>K17</f>
        <v>45.95</v>
      </c>
      <c r="AW20" s="7"/>
      <c r="AX20" s="7"/>
    </row>
    <row r="21" spans="1:57" ht="21.75" customHeight="1" thickBot="1" x14ac:dyDescent="0.35">
      <c r="A21" s="56" t="s">
        <v>30</v>
      </c>
      <c r="B21" s="58"/>
      <c r="C21" s="112">
        <v>0</v>
      </c>
      <c r="D21" s="113" t="s">
        <v>31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4">
        <f>(C12+(C20*C21))/C13</f>
        <v>2.6896551724137931</v>
      </c>
      <c r="P21" s="114"/>
      <c r="Q21" s="115"/>
      <c r="R21" s="116"/>
      <c r="S21" s="116"/>
      <c r="T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84">
        <v>8</v>
      </c>
      <c r="AS21" s="85">
        <v>41</v>
      </c>
      <c r="AT21" s="86">
        <v>56</v>
      </c>
      <c r="AU21" s="85">
        <v>71</v>
      </c>
      <c r="AV21" s="87">
        <f>J17</f>
        <v>61.65</v>
      </c>
      <c r="AW21" s="116"/>
      <c r="AX21" s="116"/>
    </row>
    <row r="22" spans="1:57" ht="21.75" customHeight="1" thickBot="1" x14ac:dyDescent="0.35">
      <c r="A22" s="56" t="s">
        <v>32</v>
      </c>
      <c r="B22" s="105"/>
      <c r="C22" s="58">
        <v>5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4"/>
      <c r="P22" s="114"/>
      <c r="Q22" s="115"/>
      <c r="R22" s="7"/>
      <c r="S22" s="7"/>
      <c r="T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4">
        <v>11.2</v>
      </c>
      <c r="AS22" s="85">
        <v>57</v>
      </c>
      <c r="AT22" s="86">
        <v>70</v>
      </c>
      <c r="AU22" s="85">
        <v>82</v>
      </c>
      <c r="AV22" s="87">
        <f>I17</f>
        <v>68.650000000000006</v>
      </c>
      <c r="AW22" s="7"/>
      <c r="AX22" s="7"/>
    </row>
    <row r="23" spans="1:57" ht="21.75" customHeight="1" thickBot="1" x14ac:dyDescent="0.35">
      <c r="A23" s="117" t="s">
        <v>33</v>
      </c>
      <c r="B23" s="118"/>
      <c r="C23" s="58">
        <v>25</v>
      </c>
      <c r="D23" s="113" t="s">
        <v>34</v>
      </c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9">
        <f>B34+B35+B36+B37</f>
        <v>679.19354838709683</v>
      </c>
      <c r="P23" s="119"/>
      <c r="Q23" s="120"/>
      <c r="R23" s="7"/>
      <c r="S23" s="7"/>
      <c r="T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84">
        <v>16</v>
      </c>
      <c r="AS23" s="85">
        <v>72</v>
      </c>
      <c r="AT23" s="86">
        <v>82</v>
      </c>
      <c r="AU23" s="85">
        <v>91</v>
      </c>
      <c r="AV23" s="87">
        <f>H17</f>
        <v>84.22</v>
      </c>
      <c r="AW23" s="7"/>
      <c r="AX23" s="7"/>
    </row>
    <row r="24" spans="1:57" ht="31.5" customHeight="1" thickBot="1" x14ac:dyDescent="0.35">
      <c r="A24" s="117" t="s">
        <v>35</v>
      </c>
      <c r="B24" s="121" t="s">
        <v>36</v>
      </c>
      <c r="C24" s="112">
        <v>0.9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9"/>
      <c r="P24" s="119"/>
      <c r="Q24" s="120"/>
      <c r="R24" s="7"/>
      <c r="S24" s="7"/>
      <c r="T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4">
        <v>22.4</v>
      </c>
      <c r="AS24" s="85">
        <v>86</v>
      </c>
      <c r="AT24" s="86">
        <v>91</v>
      </c>
      <c r="AU24" s="85">
        <v>96</v>
      </c>
      <c r="AV24" s="87">
        <f>G17</f>
        <v>99.31</v>
      </c>
      <c r="AW24" s="7"/>
      <c r="AX24" s="7"/>
    </row>
    <row r="25" spans="1:57" ht="21.75" customHeight="1" thickBot="1" x14ac:dyDescent="0.35">
      <c r="A25" s="56" t="s">
        <v>37</v>
      </c>
      <c r="B25" s="122" t="s">
        <v>38</v>
      </c>
      <c r="C25" s="58">
        <v>0.11</v>
      </c>
      <c r="D25" s="113" t="s">
        <v>39</v>
      </c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9">
        <f>D34+D35+D36+D37</f>
        <v>1815.212677419355</v>
      </c>
      <c r="P25" s="119"/>
      <c r="Q25" s="120"/>
      <c r="R25" s="7"/>
      <c r="S25" s="7"/>
      <c r="T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84">
        <v>31.5</v>
      </c>
      <c r="AS25" s="85">
        <v>94</v>
      </c>
      <c r="AT25" s="86">
        <v>96</v>
      </c>
      <c r="AU25" s="85">
        <v>98</v>
      </c>
      <c r="AV25" s="87">
        <f>F17</f>
        <v>100</v>
      </c>
      <c r="AW25" s="7"/>
      <c r="AX25" s="7"/>
    </row>
    <row r="26" spans="1:57" ht="21.75" customHeight="1" thickBot="1" x14ac:dyDescent="0.35">
      <c r="A26" s="123" t="s">
        <v>40</v>
      </c>
      <c r="B26" s="113"/>
      <c r="C26" s="58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9"/>
      <c r="P26" s="119"/>
      <c r="Q26" s="120"/>
      <c r="R26" s="7"/>
      <c r="S26" s="7"/>
      <c r="T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84">
        <v>40</v>
      </c>
      <c r="AS26" s="85">
        <v>100</v>
      </c>
      <c r="AT26" s="86">
        <v>100</v>
      </c>
      <c r="AU26" s="85">
        <v>100</v>
      </c>
      <c r="AV26" s="87">
        <v>100</v>
      </c>
      <c r="AW26" s="7"/>
      <c r="AX26" s="7"/>
    </row>
    <row r="27" spans="1:57" ht="24.9" customHeight="1" thickBot="1" x14ac:dyDescent="0.3">
      <c r="A27" s="123" t="s">
        <v>40</v>
      </c>
      <c r="B27" s="113"/>
      <c r="C27" s="58"/>
      <c r="D27" s="113" t="s">
        <v>41</v>
      </c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24">
        <f>(C12/O25)*100</f>
        <v>21.485085734110989</v>
      </c>
      <c r="P27" s="124"/>
      <c r="Q27" s="125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7" ht="42.75" customHeight="1" thickBot="1" x14ac:dyDescent="0.3">
      <c r="A28" s="126" t="s">
        <v>42</v>
      </c>
      <c r="B28" s="127"/>
      <c r="C28" s="127"/>
      <c r="D28" s="128"/>
      <c r="E28" s="129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</row>
    <row r="29" spans="1:57" ht="52.5" customHeight="1" thickBot="1" x14ac:dyDescent="0.3">
      <c r="A29" s="132" t="s">
        <v>9</v>
      </c>
      <c r="B29" s="53" t="s">
        <v>43</v>
      </c>
      <c r="C29" s="53" t="s">
        <v>44</v>
      </c>
      <c r="D29" s="53" t="s">
        <v>45</v>
      </c>
      <c r="E29" s="53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BE29" s="133"/>
    </row>
    <row r="30" spans="1:57" ht="21" customHeight="1" thickBot="1" x14ac:dyDescent="0.3">
      <c r="A30" s="56" t="s">
        <v>46</v>
      </c>
      <c r="B30" s="134">
        <f>C12/C30</f>
        <v>125.80645161290322</v>
      </c>
      <c r="C30" s="135">
        <v>3.1</v>
      </c>
      <c r="D30" s="136">
        <f>C12</f>
        <v>390</v>
      </c>
      <c r="E30" s="136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T30" s="7"/>
      <c r="U30" s="7"/>
      <c r="V30" s="7"/>
      <c r="W30" s="7"/>
      <c r="X30" s="7"/>
      <c r="Y30" s="13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BE30" s="133"/>
    </row>
    <row r="31" spans="1:57" ht="21" customHeight="1" thickBot="1" x14ac:dyDescent="0.3">
      <c r="A31" s="56" t="s">
        <v>47</v>
      </c>
      <c r="B31" s="134">
        <f>D31/C31</f>
        <v>0</v>
      </c>
      <c r="C31" s="135">
        <v>2.04</v>
      </c>
      <c r="D31" s="134">
        <f>C20</f>
        <v>0</v>
      </c>
      <c r="E31" s="134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BE31" s="133"/>
    </row>
    <row r="32" spans="1:57" ht="21" customHeight="1" thickBot="1" x14ac:dyDescent="0.3">
      <c r="A32" s="56" t="s">
        <v>48</v>
      </c>
      <c r="B32" s="134">
        <f>C13</f>
        <v>145</v>
      </c>
      <c r="C32" s="135">
        <v>1</v>
      </c>
      <c r="D32" s="134">
        <f>B32</f>
        <v>145</v>
      </c>
      <c r="E32" s="134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138"/>
      <c r="BE32" s="133"/>
    </row>
    <row r="33" spans="1:57" ht="21" customHeight="1" thickBot="1" x14ac:dyDescent="0.3">
      <c r="A33" s="56" t="s">
        <v>49</v>
      </c>
      <c r="B33" s="134">
        <f>C22*10</f>
        <v>50</v>
      </c>
      <c r="C33" s="135">
        <v>1.2250000000000001</v>
      </c>
      <c r="D33" s="139">
        <f>B33/C33</f>
        <v>40.816326530612244</v>
      </c>
      <c r="E33" s="139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140"/>
      <c r="AZ33" s="141" t="s">
        <v>50</v>
      </c>
      <c r="BA33" s="141"/>
      <c r="BB33" s="140"/>
      <c r="BC33" s="140"/>
      <c r="BD33" s="142"/>
      <c r="BE33" s="143"/>
    </row>
    <row r="34" spans="1:57" ht="24.75" customHeight="1" thickBot="1" x14ac:dyDescent="0.3">
      <c r="A34" s="59" t="s">
        <v>13</v>
      </c>
      <c r="B34" s="134">
        <f>((1000-I80)*C14)/100</f>
        <v>203.75806451612905</v>
      </c>
      <c r="C34" s="144">
        <v>2.7389999999999999</v>
      </c>
      <c r="D34" s="134">
        <f>(C34*B34)</f>
        <v>558.09333870967748</v>
      </c>
      <c r="E34" s="134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1"/>
      <c r="T34" s="145"/>
      <c r="U34" s="145"/>
      <c r="V34" s="145"/>
      <c r="W34" s="145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146"/>
      <c r="AZ34" s="146" t="s">
        <v>51</v>
      </c>
      <c r="BA34" s="146" t="s">
        <v>52</v>
      </c>
      <c r="BB34" s="146" t="s">
        <v>53</v>
      </c>
      <c r="BC34" s="147" t="s">
        <v>54</v>
      </c>
      <c r="BD34" s="148"/>
      <c r="BE34" s="143"/>
    </row>
    <row r="35" spans="1:57" ht="27" customHeight="1" thickBot="1" x14ac:dyDescent="0.3">
      <c r="A35" s="59" t="s">
        <v>18</v>
      </c>
      <c r="B35" s="134">
        <f>((1000-I80)*C15)/100</f>
        <v>135.83870967741936</v>
      </c>
      <c r="C35" s="144">
        <v>2.7149999999999999</v>
      </c>
      <c r="D35" s="134">
        <f>(C35*B35)</f>
        <v>368.80209677419356</v>
      </c>
      <c r="E35" s="134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1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146">
        <v>31.5</v>
      </c>
      <c r="AZ35" s="140">
        <v>100</v>
      </c>
      <c r="BA35" s="140">
        <v>100</v>
      </c>
      <c r="BB35" s="140">
        <v>100</v>
      </c>
      <c r="BC35" s="147">
        <f>F17</f>
        <v>100</v>
      </c>
      <c r="BD35" s="148"/>
      <c r="BE35" s="143"/>
    </row>
    <row r="36" spans="1:57" ht="29.25" customHeight="1" thickBot="1" x14ac:dyDescent="0.3">
      <c r="A36" s="77" t="s">
        <v>23</v>
      </c>
      <c r="B36" s="134">
        <f>((1000-I80)*C16)/100</f>
        <v>203.75806451612905</v>
      </c>
      <c r="C36" s="144">
        <v>2.5950000000000002</v>
      </c>
      <c r="D36" s="134">
        <f>C36*B36</f>
        <v>528.75217741935489</v>
      </c>
      <c r="E36" s="134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146">
        <v>22.4</v>
      </c>
      <c r="AZ36" s="140">
        <v>98</v>
      </c>
      <c r="BA36" s="140">
        <v>100</v>
      </c>
      <c r="BB36" s="140">
        <v>100</v>
      </c>
      <c r="BC36" s="147">
        <f>G17</f>
        <v>99.31</v>
      </c>
      <c r="BD36" s="148"/>
      <c r="BE36" s="143"/>
    </row>
    <row r="37" spans="1:57" ht="31.5" customHeight="1" thickBot="1" x14ac:dyDescent="0.3">
      <c r="A37" s="77" t="s">
        <v>24</v>
      </c>
      <c r="B37" s="134">
        <f>((1000-I80)*C17)/100</f>
        <v>135.83870967741936</v>
      </c>
      <c r="C37" s="144">
        <v>2.6469999999999998</v>
      </c>
      <c r="D37" s="134">
        <f>C37*B37</f>
        <v>359.56506451612904</v>
      </c>
      <c r="E37" s="149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146">
        <v>16</v>
      </c>
      <c r="AZ37" s="140">
        <v>85</v>
      </c>
      <c r="BA37" s="140">
        <v>99</v>
      </c>
      <c r="BB37" s="140">
        <v>92</v>
      </c>
      <c r="BC37" s="147">
        <f>H17</f>
        <v>84.22</v>
      </c>
      <c r="BD37" s="148"/>
      <c r="BE37" s="143"/>
    </row>
    <row r="38" spans="1:57" ht="21" customHeight="1" thickBot="1" x14ac:dyDescent="0.3">
      <c r="A38" s="56" t="s">
        <v>55</v>
      </c>
      <c r="B38" s="139">
        <f>D38/C38</f>
        <v>3</v>
      </c>
      <c r="C38" s="150">
        <v>1.17</v>
      </c>
      <c r="D38" s="139">
        <f>(C12+C20)*C24/100</f>
        <v>3.51</v>
      </c>
      <c r="E38" s="139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146">
        <v>11.2</v>
      </c>
      <c r="AZ38" s="140">
        <v>68</v>
      </c>
      <c r="BA38" s="140">
        <v>90</v>
      </c>
      <c r="BB38" s="140">
        <v>79</v>
      </c>
      <c r="BC38" s="147">
        <f>I17</f>
        <v>68.650000000000006</v>
      </c>
      <c r="BD38" s="148"/>
      <c r="BE38" s="143"/>
    </row>
    <row r="39" spans="1:57" ht="21" customHeight="1" thickBot="1" x14ac:dyDescent="0.3">
      <c r="A39" s="56" t="s">
        <v>56</v>
      </c>
      <c r="B39" s="151">
        <f>D39/C39</f>
        <v>0.41249999999999998</v>
      </c>
      <c r="C39" s="152">
        <v>1.04</v>
      </c>
      <c r="D39" s="139">
        <f>(C12+C20)*C25/100</f>
        <v>0.42899999999999999</v>
      </c>
      <c r="E39" s="153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1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146">
        <v>8</v>
      </c>
      <c r="AZ39" s="140">
        <v>48</v>
      </c>
      <c r="BA39" s="140">
        <v>77</v>
      </c>
      <c r="BB39" s="140">
        <v>63</v>
      </c>
      <c r="BC39" s="147">
        <f>J17</f>
        <v>61.65</v>
      </c>
      <c r="BD39" s="148"/>
      <c r="BE39" s="143"/>
    </row>
    <row r="40" spans="1:57" ht="44.25" customHeight="1" thickBot="1" x14ac:dyDescent="0.3">
      <c r="A40" s="56" t="s">
        <v>57</v>
      </c>
      <c r="B40" s="154">
        <f>B30+B31+B32+B33+B34+B35+B36+B37</f>
        <v>1000.0000000000001</v>
      </c>
      <c r="C40" s="53" t="s">
        <v>58</v>
      </c>
      <c r="D40" s="155">
        <f>D30+D31+D32+D34+D35+D36+D37+D38+D39+D33</f>
        <v>2394.9680039499672</v>
      </c>
      <c r="E40" s="154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1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7"/>
      <c r="AY40" s="146">
        <v>4</v>
      </c>
      <c r="AZ40" s="140">
        <v>33</v>
      </c>
      <c r="BA40" s="140">
        <v>64</v>
      </c>
      <c r="BB40" s="140">
        <v>49</v>
      </c>
      <c r="BC40" s="147">
        <f>K17</f>
        <v>45.95</v>
      </c>
      <c r="BD40" s="148"/>
      <c r="BE40" s="143"/>
    </row>
    <row r="41" spans="1:57" ht="36.75" customHeight="1" thickBot="1" x14ac:dyDescent="0.3">
      <c r="A41" s="41" t="s">
        <v>59</v>
      </c>
      <c r="B41" s="157">
        <v>25</v>
      </c>
      <c r="C41" s="158" t="s">
        <v>60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60"/>
      <c r="P41" s="161" t="s">
        <v>61</v>
      </c>
      <c r="Q41" s="162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46">
        <v>2</v>
      </c>
      <c r="AZ41" s="140">
        <v>22</v>
      </c>
      <c r="BA41" s="140">
        <v>52</v>
      </c>
      <c r="BB41" s="140">
        <v>37</v>
      </c>
      <c r="BC41" s="147">
        <f>L17</f>
        <v>30.36</v>
      </c>
      <c r="BD41" s="148"/>
      <c r="BE41" s="143"/>
    </row>
    <row r="42" spans="1:57" ht="27" customHeight="1" thickBot="1" x14ac:dyDescent="0.3">
      <c r="A42" s="163" t="s">
        <v>62</v>
      </c>
      <c r="B42" s="164" t="s">
        <v>63</v>
      </c>
      <c r="C42" s="164"/>
      <c r="D42" s="164" t="s">
        <v>10</v>
      </c>
      <c r="E42" s="164"/>
      <c r="F42" s="164"/>
      <c r="G42" s="165" t="s">
        <v>64</v>
      </c>
      <c r="H42" s="165"/>
      <c r="I42" s="165"/>
      <c r="J42" s="165" t="s">
        <v>65</v>
      </c>
      <c r="K42" s="165"/>
      <c r="L42" s="165"/>
      <c r="M42" s="165" t="s">
        <v>66</v>
      </c>
      <c r="N42" s="165"/>
      <c r="O42" s="165"/>
      <c r="P42" s="166"/>
      <c r="Q42" s="167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46">
        <v>1</v>
      </c>
      <c r="AZ42" s="140">
        <v>15</v>
      </c>
      <c r="BA42" s="140">
        <v>41</v>
      </c>
      <c r="BB42" s="140">
        <v>28</v>
      </c>
      <c r="BC42" s="147">
        <f>M17</f>
        <v>20.04</v>
      </c>
      <c r="BD42" s="148"/>
      <c r="BE42" s="143"/>
    </row>
    <row r="43" spans="1:57" ht="17.100000000000001" customHeight="1" thickBot="1" x14ac:dyDescent="0.3">
      <c r="A43" s="168"/>
      <c r="B43" s="164"/>
      <c r="C43" s="164"/>
      <c r="D43" s="169">
        <f>B41</f>
        <v>25</v>
      </c>
      <c r="E43" s="169"/>
      <c r="F43" s="169"/>
      <c r="G43" s="165"/>
      <c r="H43" s="165"/>
      <c r="I43" s="165"/>
      <c r="J43" s="165"/>
      <c r="K43" s="165"/>
      <c r="L43" s="165"/>
      <c r="M43" s="165"/>
      <c r="N43" s="165"/>
      <c r="O43" s="165"/>
      <c r="P43" s="166"/>
      <c r="Q43" s="167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46">
        <v>0.5</v>
      </c>
      <c r="AZ43" s="140">
        <v>10</v>
      </c>
      <c r="BA43" s="140">
        <v>30</v>
      </c>
      <c r="BB43" s="140">
        <v>20</v>
      </c>
      <c r="BC43" s="147">
        <f>N17</f>
        <v>13.79</v>
      </c>
      <c r="BD43" s="148"/>
      <c r="BE43" s="143"/>
    </row>
    <row r="44" spans="1:57" ht="17.100000000000001" customHeight="1" thickBot="1" x14ac:dyDescent="0.3">
      <c r="A44" s="168"/>
      <c r="B44" s="164"/>
      <c r="C44" s="164"/>
      <c r="D44" s="170" t="s">
        <v>67</v>
      </c>
      <c r="E44" s="170"/>
      <c r="F44" s="170"/>
      <c r="G44" s="165"/>
      <c r="H44" s="165"/>
      <c r="I44" s="165"/>
      <c r="J44" s="165"/>
      <c r="K44" s="165"/>
      <c r="L44" s="165"/>
      <c r="M44" s="165"/>
      <c r="N44" s="165"/>
      <c r="O44" s="165"/>
      <c r="P44" s="171"/>
      <c r="Q44" s="172"/>
      <c r="R44" s="156"/>
      <c r="S44" s="156"/>
      <c r="T44" s="156"/>
      <c r="U44" s="156">
        <f>(500-492.2)/500*100</f>
        <v>1.5600000000000023</v>
      </c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46">
        <v>0.25</v>
      </c>
      <c r="AZ44" s="140">
        <v>6</v>
      </c>
      <c r="BA44" s="140">
        <v>20</v>
      </c>
      <c r="BB44" s="140">
        <v>13</v>
      </c>
      <c r="BC44" s="147">
        <f>O17</f>
        <v>9.32</v>
      </c>
      <c r="BD44" s="148"/>
      <c r="BE44" s="143"/>
    </row>
    <row r="45" spans="1:57" ht="21" customHeight="1" thickBot="1" x14ac:dyDescent="0.3">
      <c r="A45" s="56" t="s">
        <v>46</v>
      </c>
      <c r="B45" s="173">
        <f>D30</f>
        <v>390</v>
      </c>
      <c r="C45" s="173"/>
      <c r="D45" s="174">
        <f>B45*B41/1000</f>
        <v>9.75</v>
      </c>
      <c r="E45" s="174"/>
      <c r="F45" s="174"/>
      <c r="G45" s="119"/>
      <c r="H45" s="119"/>
      <c r="I45" s="119"/>
      <c r="J45" s="173"/>
      <c r="K45" s="173"/>
      <c r="L45" s="173"/>
      <c r="M45" s="173"/>
      <c r="N45" s="173"/>
      <c r="O45" s="173"/>
      <c r="P45" s="174">
        <f>D45</f>
        <v>9.75</v>
      </c>
      <c r="Q45" s="175"/>
      <c r="R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46">
        <v>0.15</v>
      </c>
      <c r="AZ45" s="140">
        <v>3</v>
      </c>
      <c r="BA45" s="140">
        <v>11</v>
      </c>
      <c r="BB45" s="140">
        <v>7</v>
      </c>
      <c r="BC45" s="147">
        <f>P17</f>
        <v>5.91</v>
      </c>
      <c r="BD45" s="156"/>
      <c r="BE45" s="176"/>
    </row>
    <row r="46" spans="1:57" ht="21" customHeight="1" thickBot="1" x14ac:dyDescent="0.3">
      <c r="A46" s="56" t="s">
        <v>47</v>
      </c>
      <c r="B46" s="119">
        <f>D31</f>
        <v>0</v>
      </c>
      <c r="C46" s="119"/>
      <c r="D46" s="174">
        <f>B46*B41/1000</f>
        <v>0</v>
      </c>
      <c r="E46" s="174"/>
      <c r="F46" s="174"/>
      <c r="G46" s="124"/>
      <c r="H46" s="124"/>
      <c r="I46" s="124"/>
      <c r="J46" s="173"/>
      <c r="K46" s="173"/>
      <c r="L46" s="173"/>
      <c r="M46" s="173"/>
      <c r="N46" s="173"/>
      <c r="O46" s="173"/>
      <c r="P46" s="177">
        <f>D46</f>
        <v>0</v>
      </c>
      <c r="Q46" s="178"/>
      <c r="R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46">
        <v>6.3E-2</v>
      </c>
      <c r="AZ46" s="140">
        <v>1</v>
      </c>
      <c r="BA46" s="140">
        <v>5</v>
      </c>
      <c r="BB46" s="140">
        <v>3</v>
      </c>
      <c r="BC46" s="147">
        <f>P17</f>
        <v>5.91</v>
      </c>
      <c r="BD46" s="156"/>
      <c r="BE46" s="176"/>
    </row>
    <row r="47" spans="1:57" ht="21" customHeight="1" thickBot="1" x14ac:dyDescent="0.3">
      <c r="A47" s="56" t="s">
        <v>48</v>
      </c>
      <c r="B47" s="119">
        <f>D32</f>
        <v>145</v>
      </c>
      <c r="C47" s="119"/>
      <c r="D47" s="174">
        <f>B47*B41/1000</f>
        <v>3.625</v>
      </c>
      <c r="E47" s="174"/>
      <c r="F47" s="174"/>
      <c r="G47" s="124"/>
      <c r="H47" s="124"/>
      <c r="I47" s="124"/>
      <c r="J47" s="173"/>
      <c r="K47" s="173"/>
      <c r="L47" s="173"/>
      <c r="M47" s="174">
        <f>(P48+P49+P50+P51)-(D48+D49+D50+D51)</f>
        <v>-1.0761091641128999</v>
      </c>
      <c r="N47" s="174"/>
      <c r="O47" s="174"/>
      <c r="P47" s="179">
        <f>D47-M47</f>
        <v>4.7011091641128999</v>
      </c>
      <c r="Q47" s="180">
        <f>P47-(P52*C26)-(P53*C27)</f>
        <v>4.7011091641128999</v>
      </c>
      <c r="R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E47" s="133"/>
    </row>
    <row r="48" spans="1:57" ht="27" customHeight="1" thickBot="1" x14ac:dyDescent="0.3">
      <c r="A48" s="59" t="s">
        <v>13</v>
      </c>
      <c r="B48" s="119">
        <f t="shared" ref="B48:B51" si="1">D34</f>
        <v>558.09333870967748</v>
      </c>
      <c r="C48" s="119"/>
      <c r="D48" s="174">
        <f>B48*B41/1000</f>
        <v>13.952333467741937</v>
      </c>
      <c r="E48" s="174"/>
      <c r="F48" s="174"/>
      <c r="G48" s="181">
        <v>0</v>
      </c>
      <c r="H48" s="181"/>
      <c r="I48" s="181"/>
      <c r="J48" s="182">
        <v>1.4</v>
      </c>
      <c r="K48" s="182"/>
      <c r="L48" s="182"/>
      <c r="M48" s="114">
        <f>G48-J48</f>
        <v>-1.4</v>
      </c>
      <c r="N48" s="114"/>
      <c r="O48" s="114"/>
      <c r="P48" s="177">
        <f>((M48*D48)/100)+D48</f>
        <v>13.75700079919355</v>
      </c>
      <c r="Q48" s="178"/>
      <c r="R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E48" s="133"/>
    </row>
    <row r="49" spans="1:57" ht="27" customHeight="1" thickBot="1" x14ac:dyDescent="0.3">
      <c r="A49" s="59" t="s">
        <v>18</v>
      </c>
      <c r="B49" s="119">
        <f>D35</f>
        <v>368.80209677419356</v>
      </c>
      <c r="C49" s="119"/>
      <c r="D49" s="174">
        <f>(B49*B41)/1000</f>
        <v>9.2200524193548397</v>
      </c>
      <c r="E49" s="174"/>
      <c r="F49" s="174"/>
      <c r="G49" s="181">
        <v>0</v>
      </c>
      <c r="H49" s="181"/>
      <c r="I49" s="181"/>
      <c r="J49" s="182">
        <v>2</v>
      </c>
      <c r="K49" s="182"/>
      <c r="L49" s="182"/>
      <c r="M49" s="114">
        <f>G49-J49</f>
        <v>-2</v>
      </c>
      <c r="N49" s="114"/>
      <c r="O49" s="114"/>
      <c r="P49" s="177">
        <f>((M49*D49)/100)+D49</f>
        <v>9.0356513709677433</v>
      </c>
      <c r="Q49" s="178"/>
      <c r="R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BD49" s="133"/>
      <c r="BE49" s="133"/>
    </row>
    <row r="50" spans="1:57" ht="29.25" customHeight="1" thickBot="1" x14ac:dyDescent="0.3">
      <c r="A50" s="77" t="s">
        <v>23</v>
      </c>
      <c r="B50" s="119">
        <f>D36</f>
        <v>528.75217741935489</v>
      </c>
      <c r="C50" s="119"/>
      <c r="D50" s="174">
        <f>B50*B41/1000</f>
        <v>13.218804435483873</v>
      </c>
      <c r="E50" s="174"/>
      <c r="F50" s="174"/>
      <c r="G50" s="181">
        <v>0</v>
      </c>
      <c r="H50" s="181"/>
      <c r="I50" s="181"/>
      <c r="J50" s="182">
        <v>3.5</v>
      </c>
      <c r="K50" s="182"/>
      <c r="L50" s="182"/>
      <c r="M50" s="114">
        <f>G50-J50</f>
        <v>-3.5</v>
      </c>
      <c r="N50" s="114"/>
      <c r="O50" s="114"/>
      <c r="P50" s="177">
        <f>((M50*D50)/100)+D50</f>
        <v>12.756146280241937</v>
      </c>
      <c r="Q50" s="178"/>
      <c r="R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BD50" s="133"/>
      <c r="BE50" s="133"/>
    </row>
    <row r="51" spans="1:57" ht="25.5" customHeight="1" thickBot="1" x14ac:dyDescent="0.3">
      <c r="A51" s="77" t="s">
        <v>24</v>
      </c>
      <c r="B51" s="183">
        <f t="shared" si="1"/>
        <v>359.56506451612904</v>
      </c>
      <c r="C51" s="183"/>
      <c r="D51" s="184">
        <f>B51*B41/1000</f>
        <v>8.9891266129032257</v>
      </c>
      <c r="E51" s="184"/>
      <c r="F51" s="184"/>
      <c r="G51" s="185">
        <v>0</v>
      </c>
      <c r="H51" s="185"/>
      <c r="I51" s="185"/>
      <c r="J51" s="186">
        <v>2.6</v>
      </c>
      <c r="K51" s="186"/>
      <c r="L51" s="186"/>
      <c r="M51" s="187">
        <f>G51-J51</f>
        <v>-2.6</v>
      </c>
      <c r="N51" s="187"/>
      <c r="O51" s="187"/>
      <c r="P51" s="188">
        <f>((M51*D51)/100)+D51</f>
        <v>8.7554093209677415</v>
      </c>
      <c r="Q51" s="189"/>
      <c r="R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33"/>
      <c r="AZ51" s="133"/>
      <c r="BA51" s="133"/>
      <c r="BB51" s="133"/>
      <c r="BC51" s="133"/>
    </row>
    <row r="52" spans="1:57" ht="21" customHeight="1" thickBot="1" x14ac:dyDescent="0.3">
      <c r="A52" s="56" t="s">
        <v>68</v>
      </c>
      <c r="B52" s="190">
        <f>D38</f>
        <v>3.51</v>
      </c>
      <c r="C52" s="191"/>
      <c r="D52" s="174">
        <f>B52*B41/1000</f>
        <v>8.7749999999999995E-2</v>
      </c>
      <c r="E52" s="174"/>
      <c r="F52" s="174"/>
      <c r="G52" s="119"/>
      <c r="H52" s="119"/>
      <c r="I52" s="119"/>
      <c r="J52" s="173"/>
      <c r="K52" s="173"/>
      <c r="L52" s="173"/>
      <c r="M52" s="114"/>
      <c r="N52" s="114"/>
      <c r="O52" s="114"/>
      <c r="P52" s="177">
        <f>D52</f>
        <v>8.7749999999999995E-2</v>
      </c>
      <c r="Q52" s="178"/>
      <c r="R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33"/>
      <c r="AZ52" s="133"/>
      <c r="BA52" s="133"/>
      <c r="BB52" s="133"/>
      <c r="BC52" s="133"/>
    </row>
    <row r="53" spans="1:57" ht="21" customHeight="1" thickBot="1" x14ac:dyDescent="0.3">
      <c r="A53" s="56" t="s">
        <v>56</v>
      </c>
      <c r="B53" s="190">
        <f>D39</f>
        <v>0.42899999999999999</v>
      </c>
      <c r="C53" s="191"/>
      <c r="D53" s="174">
        <f>B53*B41/1000</f>
        <v>1.0725E-2</v>
      </c>
      <c r="E53" s="174"/>
      <c r="F53" s="174"/>
      <c r="G53" s="192"/>
      <c r="H53" s="192"/>
      <c r="I53" s="192"/>
      <c r="J53" s="193"/>
      <c r="K53" s="193"/>
      <c r="L53" s="193"/>
      <c r="M53" s="194"/>
      <c r="N53" s="194"/>
      <c r="O53" s="194"/>
      <c r="P53" s="177">
        <f>D53</f>
        <v>1.0725E-2</v>
      </c>
      <c r="Q53" s="178"/>
      <c r="R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</row>
    <row r="54" spans="1:57" ht="15.75" customHeight="1" thickBot="1" x14ac:dyDescent="0.3">
      <c r="A54" s="195"/>
      <c r="B54" s="196">
        <f>SUM(B45:C53)+D33</f>
        <v>2394.9680039499672</v>
      </c>
      <c r="C54" s="197"/>
      <c r="D54" s="196">
        <f>D45+D46+D47+D48+D49+D50+D51+D52+D53+D33</f>
        <v>99.670118466096127</v>
      </c>
      <c r="E54" s="198"/>
      <c r="F54" s="197"/>
      <c r="G54" s="199"/>
      <c r="H54" s="200"/>
      <c r="I54" s="201"/>
      <c r="J54" s="202"/>
      <c r="K54" s="203"/>
      <c r="L54" s="204"/>
      <c r="M54" s="199"/>
      <c r="N54" s="200"/>
      <c r="O54" s="201"/>
      <c r="P54" s="205">
        <f>P45+P46+P47+P48+P49+P50+P51+P52+P53+D33</f>
        <v>99.670118466096113</v>
      </c>
      <c r="Q54" s="206"/>
      <c r="R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</row>
    <row r="55" spans="1:57" ht="34.5" customHeight="1" thickBot="1" x14ac:dyDescent="0.3">
      <c r="A55" s="207" t="s">
        <v>69</v>
      </c>
      <c r="B55" s="208"/>
      <c r="C55" s="208"/>
      <c r="D55" s="209" t="s">
        <v>70</v>
      </c>
      <c r="E55" s="209"/>
      <c r="F55" s="210"/>
      <c r="G55" s="210"/>
      <c r="H55" s="211" t="s">
        <v>71</v>
      </c>
      <c r="I55" s="212"/>
      <c r="J55" s="211" t="s">
        <v>72</v>
      </c>
      <c r="K55" s="213"/>
      <c r="L55" s="214" t="s">
        <v>73</v>
      </c>
      <c r="M55" s="214"/>
      <c r="N55" s="213"/>
      <c r="O55" s="214" t="s">
        <v>74</v>
      </c>
      <c r="P55" s="214"/>
      <c r="Q55" s="215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</row>
    <row r="56" spans="1:57" ht="15.75" customHeight="1" thickTop="1" thickBot="1" x14ac:dyDescent="0.3">
      <c r="A56" s="216"/>
      <c r="B56" s="216"/>
      <c r="C56" s="216"/>
      <c r="D56" s="217"/>
      <c r="E56" s="217"/>
      <c r="F56" s="217"/>
      <c r="G56" s="217"/>
      <c r="H56" s="217"/>
      <c r="I56" s="217"/>
      <c r="J56" s="217"/>
      <c r="K56" s="217"/>
      <c r="L56" s="218"/>
      <c r="M56" s="218"/>
      <c r="N56" s="218"/>
      <c r="O56" s="218"/>
      <c r="P56" s="218"/>
      <c r="Q56" s="218"/>
      <c r="R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</row>
    <row r="57" spans="1:57" ht="24" customHeight="1" x14ac:dyDescent="0.25">
      <c r="A57" s="219" t="s">
        <v>75</v>
      </c>
      <c r="B57" s="219"/>
      <c r="C57" s="219"/>
      <c r="D57" s="220"/>
      <c r="E57" s="220"/>
      <c r="F57" s="220"/>
      <c r="G57" s="220"/>
      <c r="H57" s="220"/>
      <c r="I57" s="220"/>
      <c r="J57" s="220"/>
      <c r="K57" s="220"/>
      <c r="L57" s="221" t="s">
        <v>76</v>
      </c>
      <c r="M57" s="221"/>
      <c r="N57" s="221"/>
      <c r="O57" s="221"/>
      <c r="P57" s="221"/>
      <c r="Q57" s="221"/>
      <c r="R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</row>
    <row r="58" spans="1:57" ht="24" customHeight="1" x14ac:dyDescent="0.25">
      <c r="A58" s="222"/>
      <c r="B58" s="222"/>
      <c r="C58" s="222"/>
      <c r="D58" s="15"/>
      <c r="E58" s="15"/>
      <c r="F58" s="15"/>
      <c r="G58" s="15"/>
      <c r="H58" s="15"/>
      <c r="I58" s="15"/>
      <c r="J58" s="15"/>
      <c r="K58" s="15"/>
      <c r="L58" s="223"/>
      <c r="M58" s="223"/>
      <c r="N58" s="223"/>
      <c r="O58" s="223"/>
      <c r="P58" s="223"/>
      <c r="Q58" s="223"/>
      <c r="R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</row>
    <row r="59" spans="1:57" ht="12.75" customHeight="1" x14ac:dyDescent="0.25">
      <c r="A59" s="222"/>
      <c r="B59" s="222"/>
      <c r="C59" s="222"/>
      <c r="D59" s="224" t="s">
        <v>77</v>
      </c>
      <c r="E59" s="224"/>
      <c r="F59" s="15"/>
      <c r="G59" s="15"/>
      <c r="H59" s="15"/>
      <c r="I59" s="15"/>
      <c r="J59" s="15"/>
      <c r="K59" s="15"/>
      <c r="L59" s="223"/>
      <c r="M59" s="223"/>
      <c r="N59" s="223"/>
      <c r="O59" s="223"/>
      <c r="P59" s="223"/>
      <c r="Q59" s="223"/>
      <c r="R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</row>
    <row r="60" spans="1:57" ht="24" customHeight="1" x14ac:dyDescent="0.25">
      <c r="A60" s="222"/>
      <c r="B60" s="222"/>
      <c r="C60" s="222"/>
      <c r="D60" s="15"/>
      <c r="E60" s="15"/>
      <c r="F60" s="15"/>
      <c r="G60" s="15"/>
      <c r="H60" s="15"/>
      <c r="I60" s="15"/>
      <c r="J60" s="15"/>
      <c r="K60" s="15"/>
      <c r="L60" s="223"/>
      <c r="M60" s="223"/>
      <c r="N60" s="223"/>
      <c r="O60" s="223"/>
      <c r="P60" s="223"/>
      <c r="Q60" s="223"/>
      <c r="R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</row>
    <row r="61" spans="1:57" ht="18.75" customHeight="1" x14ac:dyDescent="0.25">
      <c r="A61" s="222"/>
      <c r="B61" s="222"/>
      <c r="C61" s="222"/>
      <c r="D61" s="29" t="s">
        <v>78</v>
      </c>
      <c r="E61" s="29"/>
      <c r="F61" s="29"/>
      <c r="G61" s="29"/>
      <c r="H61" s="29"/>
      <c r="I61" s="29"/>
      <c r="J61" s="29"/>
      <c r="K61" s="29"/>
      <c r="L61" s="223"/>
      <c r="M61" s="223"/>
      <c r="N61" s="223"/>
      <c r="O61" s="223"/>
      <c r="P61" s="223"/>
      <c r="Q61" s="223"/>
      <c r="R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</row>
    <row r="62" spans="1:57" ht="24" customHeight="1" x14ac:dyDescent="0.25">
      <c r="A62" s="225"/>
      <c r="B62" s="226"/>
      <c r="C62" s="226"/>
      <c r="D62" s="227"/>
      <c r="E62" s="227"/>
      <c r="F62" s="227"/>
      <c r="G62" s="228"/>
      <c r="H62" s="228"/>
      <c r="I62" s="229"/>
      <c r="J62" s="229"/>
      <c r="K62" s="229"/>
      <c r="L62" s="230"/>
      <c r="M62" s="230"/>
      <c r="N62" s="230"/>
      <c r="O62" s="231"/>
      <c r="P62" s="231"/>
      <c r="Q62" s="231"/>
      <c r="R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</row>
    <row r="63" spans="1:57" ht="24" customHeight="1" x14ac:dyDescent="0.25">
      <c r="A63" s="225"/>
      <c r="B63" s="226"/>
      <c r="C63" s="232"/>
      <c r="D63" s="227"/>
      <c r="E63" s="227"/>
      <c r="F63" s="227"/>
      <c r="G63" s="228"/>
      <c r="H63" s="228"/>
      <c r="I63" s="229"/>
      <c r="J63" s="229"/>
      <c r="K63" s="229"/>
      <c r="L63" s="230"/>
      <c r="M63" s="230"/>
      <c r="N63" s="230"/>
      <c r="O63" s="231"/>
      <c r="P63" s="231"/>
      <c r="Q63" s="231"/>
      <c r="R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</row>
    <row r="64" spans="1:57" ht="17.100000000000001" customHeight="1" x14ac:dyDescent="0.25">
      <c r="A64" s="233"/>
      <c r="B64" s="233"/>
      <c r="C64" s="233"/>
      <c r="D64" s="227"/>
      <c r="E64" s="227"/>
      <c r="F64" s="227"/>
      <c r="G64" s="234"/>
      <c r="H64" s="234"/>
      <c r="I64" s="235"/>
      <c r="J64" s="235"/>
      <c r="K64" s="235"/>
      <c r="L64" s="230"/>
      <c r="M64" s="230"/>
      <c r="N64" s="230"/>
      <c r="O64" s="231"/>
      <c r="P64" s="231"/>
      <c r="Q64" s="231"/>
      <c r="R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</row>
    <row r="65" spans="1:50" ht="17.100000000000001" customHeight="1" x14ac:dyDescent="0.25">
      <c r="A65" s="233"/>
      <c r="B65" s="233"/>
      <c r="C65" s="233"/>
      <c r="D65" s="227"/>
      <c r="E65" s="227"/>
      <c r="F65" s="227"/>
      <c r="G65" s="234"/>
      <c r="H65" s="234"/>
      <c r="I65" s="236"/>
      <c r="J65" s="236"/>
      <c r="K65" s="236"/>
      <c r="L65" s="230"/>
      <c r="M65" s="230"/>
      <c r="N65" s="230"/>
      <c r="O65" s="231"/>
      <c r="P65" s="231"/>
      <c r="Q65" s="231"/>
      <c r="R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</row>
    <row r="66" spans="1:50" ht="17.100000000000001" customHeight="1" x14ac:dyDescent="0.25">
      <c r="A66" s="233"/>
      <c r="B66" s="233"/>
      <c r="C66" s="233"/>
      <c r="D66" s="237"/>
      <c r="E66" s="237"/>
      <c r="F66" s="237"/>
      <c r="G66" s="237"/>
      <c r="H66" s="237"/>
      <c r="I66" s="237"/>
      <c r="J66" s="237"/>
      <c r="K66" s="237"/>
      <c r="L66" s="238"/>
      <c r="M66" s="238"/>
      <c r="N66" s="238"/>
      <c r="O66" s="239"/>
      <c r="P66" s="239"/>
      <c r="Q66" s="239"/>
      <c r="R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</row>
    <row r="67" spans="1:50" ht="17.100000000000001" customHeight="1" x14ac:dyDescent="0.25">
      <c r="A67" s="142"/>
      <c r="B67" s="90"/>
      <c r="C67" s="90"/>
      <c r="D67" s="240"/>
      <c r="E67" s="240"/>
      <c r="F67" s="241"/>
      <c r="G67" s="241"/>
      <c r="H67" s="241"/>
      <c r="I67" s="242"/>
      <c r="J67" s="242"/>
      <c r="K67" s="242"/>
      <c r="L67" s="243"/>
      <c r="M67" s="243"/>
      <c r="N67" s="156"/>
      <c r="O67" s="156"/>
      <c r="P67" s="156"/>
      <c r="Q67" s="156"/>
      <c r="R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</row>
    <row r="68" spans="1:50" ht="17.100000000000001" customHeight="1" x14ac:dyDescent="0.25">
      <c r="A68" s="142"/>
      <c r="B68" s="90"/>
      <c r="C68" s="90"/>
      <c r="D68" s="240"/>
      <c r="E68" s="240"/>
      <c r="F68" s="241"/>
      <c r="G68" s="241"/>
      <c r="H68" s="241"/>
      <c r="I68" s="241"/>
      <c r="J68" s="243"/>
      <c r="K68" s="243"/>
      <c r="L68" s="243"/>
      <c r="M68" s="243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</row>
    <row r="69" spans="1:50" ht="17.100000000000001" customHeight="1" x14ac:dyDescent="0.25">
      <c r="A69" s="142"/>
      <c r="B69" s="90"/>
      <c r="C69" s="90"/>
      <c r="D69" s="240"/>
      <c r="E69" s="240"/>
      <c r="F69" s="241"/>
      <c r="G69" s="241"/>
      <c r="H69" s="241"/>
      <c r="I69" s="241"/>
      <c r="J69" s="243"/>
      <c r="K69" s="243"/>
      <c r="L69" s="243"/>
      <c r="M69" s="243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</row>
    <row r="70" spans="1:50" ht="17.100000000000001" customHeight="1" x14ac:dyDescent="0.25">
      <c r="A70" s="142"/>
      <c r="B70" s="90"/>
      <c r="C70" s="90"/>
      <c r="D70" s="240"/>
      <c r="E70" s="240"/>
      <c r="F70" s="7"/>
      <c r="G70" s="241"/>
      <c r="H70" s="241"/>
      <c r="I70" s="241"/>
      <c r="J70" s="243"/>
      <c r="K70" s="243"/>
      <c r="L70" s="243"/>
      <c r="M70" s="243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</row>
    <row r="71" spans="1:50" ht="17.100000000000001" customHeight="1" x14ac:dyDescent="0.25">
      <c r="A71" s="142"/>
      <c r="B71" s="90"/>
      <c r="C71" s="90"/>
      <c r="D71" s="240"/>
      <c r="E71" s="240"/>
      <c r="F71" s="241"/>
      <c r="G71" s="241"/>
      <c r="H71" s="241"/>
      <c r="I71" s="241"/>
      <c r="J71" s="243"/>
      <c r="K71" s="243"/>
      <c r="L71" s="243"/>
      <c r="M71" s="243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</row>
    <row r="72" spans="1:50" ht="17.100000000000001" customHeight="1" x14ac:dyDescent="0.25">
      <c r="A72" s="142"/>
      <c r="B72" s="90"/>
      <c r="C72" s="90"/>
      <c r="D72" s="240"/>
      <c r="E72" s="240"/>
      <c r="F72" s="241"/>
      <c r="G72" s="241"/>
      <c r="H72" s="241"/>
      <c r="I72" s="241"/>
      <c r="J72" s="243"/>
      <c r="K72" s="243"/>
      <c r="L72" s="243"/>
      <c r="M72" s="243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</row>
    <row r="73" spans="1:50" ht="15" customHeight="1" x14ac:dyDescent="0.25">
      <c r="A73" s="142"/>
      <c r="B73" s="244"/>
      <c r="C73" s="90"/>
      <c r="F73" s="241"/>
      <c r="G73" s="241"/>
      <c r="H73" s="241"/>
      <c r="I73" s="241"/>
      <c r="J73" s="243"/>
      <c r="K73" s="243"/>
      <c r="L73" s="243"/>
      <c r="M73" s="243"/>
      <c r="AX73" s="156"/>
    </row>
    <row r="76" spans="1:50" x14ac:dyDescent="0.25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</row>
    <row r="77" spans="1:50" x14ac:dyDescent="0.25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</row>
    <row r="78" spans="1:50" x14ac:dyDescent="0.25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</row>
    <row r="79" spans="1:50" x14ac:dyDescent="0.25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</row>
    <row r="80" spans="1:50" x14ac:dyDescent="0.25">
      <c r="A80" s="246" t="s">
        <v>79</v>
      </c>
      <c r="B80" s="246"/>
      <c r="C80" s="246"/>
      <c r="D80" s="246"/>
      <c r="E80" s="246"/>
      <c r="F80" s="246"/>
      <c r="G80" s="246"/>
      <c r="H80" s="246"/>
      <c r="I80" s="247">
        <f>B30+B31+B32+B33</f>
        <v>320.80645161290323</v>
      </c>
      <c r="J80" s="246"/>
    </row>
    <row r="81" spans="1:12" x14ac:dyDescent="0.25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</row>
    <row r="82" spans="1:12" x14ac:dyDescent="0.25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</row>
    <row r="83" spans="1:12" x14ac:dyDescent="0.25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</row>
    <row r="84" spans="1:12" x14ac:dyDescent="0.25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</row>
    <row r="85" spans="1:12" x14ac:dyDescent="0.2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</row>
    <row r="86" spans="1:12" x14ac:dyDescent="0.25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</row>
    <row r="87" spans="1:12" x14ac:dyDescent="0.25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</row>
    <row r="88" spans="1:12" x14ac:dyDescent="0.25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</row>
    <row r="89" spans="1:12" x14ac:dyDescent="0.25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</row>
    <row r="90" spans="1:12" x14ac:dyDescent="0.25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</row>
  </sheetData>
  <mergeCells count="177">
    <mergeCell ref="O65:Q65"/>
    <mergeCell ref="D66:K66"/>
    <mergeCell ref="L66:N66"/>
    <mergeCell ref="O66:Q66"/>
    <mergeCell ref="I67:K67"/>
    <mergeCell ref="A64:C66"/>
    <mergeCell ref="D64:F64"/>
    <mergeCell ref="G64:H64"/>
    <mergeCell ref="I64:K64"/>
    <mergeCell ref="L64:N64"/>
    <mergeCell ref="O64:Q64"/>
    <mergeCell ref="D65:F65"/>
    <mergeCell ref="G65:H65"/>
    <mergeCell ref="I65:K65"/>
    <mergeCell ref="L65:N65"/>
    <mergeCell ref="O62:Q62"/>
    <mergeCell ref="B63:C63"/>
    <mergeCell ref="D63:F63"/>
    <mergeCell ref="G63:H63"/>
    <mergeCell ref="I63:K63"/>
    <mergeCell ref="L63:N63"/>
    <mergeCell ref="O63:Q63"/>
    <mergeCell ref="A57:C61"/>
    <mergeCell ref="D57:K58"/>
    <mergeCell ref="L57:Q61"/>
    <mergeCell ref="D59:K60"/>
    <mergeCell ref="D61:K61"/>
    <mergeCell ref="B62:C62"/>
    <mergeCell ref="D62:F62"/>
    <mergeCell ref="G62:H62"/>
    <mergeCell ref="I62:K62"/>
    <mergeCell ref="L62:N62"/>
    <mergeCell ref="A55:C55"/>
    <mergeCell ref="F55:G55"/>
    <mergeCell ref="L55:M55"/>
    <mergeCell ref="O55:P55"/>
    <mergeCell ref="D56:F56"/>
    <mergeCell ref="G56:H56"/>
    <mergeCell ref="I56:K56"/>
    <mergeCell ref="L56:N56"/>
    <mergeCell ref="O56:Q56"/>
    <mergeCell ref="B54:C54"/>
    <mergeCell ref="D54:F54"/>
    <mergeCell ref="G54:I54"/>
    <mergeCell ref="J54:L54"/>
    <mergeCell ref="M54:O54"/>
    <mergeCell ref="P54:Q54"/>
    <mergeCell ref="B53:C53"/>
    <mergeCell ref="D53:F53"/>
    <mergeCell ref="G53:I53"/>
    <mergeCell ref="J53:L53"/>
    <mergeCell ref="M53:O53"/>
    <mergeCell ref="P53:Q53"/>
    <mergeCell ref="B52:C52"/>
    <mergeCell ref="D52:F52"/>
    <mergeCell ref="G52:I52"/>
    <mergeCell ref="J52:L52"/>
    <mergeCell ref="M52:O52"/>
    <mergeCell ref="P52:Q52"/>
    <mergeCell ref="B51:C51"/>
    <mergeCell ref="D51:F51"/>
    <mergeCell ref="G51:I51"/>
    <mergeCell ref="J51:L51"/>
    <mergeCell ref="M51:O51"/>
    <mergeCell ref="P51:Q51"/>
    <mergeCell ref="B50:C50"/>
    <mergeCell ref="D50:F50"/>
    <mergeCell ref="G50:I50"/>
    <mergeCell ref="J50:L50"/>
    <mergeCell ref="M50:O50"/>
    <mergeCell ref="P50:Q50"/>
    <mergeCell ref="P48:Q48"/>
    <mergeCell ref="B49:C49"/>
    <mergeCell ref="D49:F49"/>
    <mergeCell ref="G49:I49"/>
    <mergeCell ref="J49:L49"/>
    <mergeCell ref="M49:O49"/>
    <mergeCell ref="P49:Q49"/>
    <mergeCell ref="B47:C47"/>
    <mergeCell ref="D47:F47"/>
    <mergeCell ref="G47:I47"/>
    <mergeCell ref="J47:L47"/>
    <mergeCell ref="M47:O47"/>
    <mergeCell ref="B48:C48"/>
    <mergeCell ref="D48:F48"/>
    <mergeCell ref="G48:I48"/>
    <mergeCell ref="J48:L48"/>
    <mergeCell ref="M48:O48"/>
    <mergeCell ref="P45:Q45"/>
    <mergeCell ref="B46:C46"/>
    <mergeCell ref="D46:F46"/>
    <mergeCell ref="G46:I46"/>
    <mergeCell ref="J46:L46"/>
    <mergeCell ref="M46:O46"/>
    <mergeCell ref="P46:Q46"/>
    <mergeCell ref="D44:F44"/>
    <mergeCell ref="B45:C45"/>
    <mergeCell ref="D45:F45"/>
    <mergeCell ref="G45:I45"/>
    <mergeCell ref="J45:L45"/>
    <mergeCell ref="M45:O45"/>
    <mergeCell ref="AZ33:BA33"/>
    <mergeCell ref="C41:O41"/>
    <mergeCell ref="P41:Q44"/>
    <mergeCell ref="A42:A44"/>
    <mergeCell ref="B42:C44"/>
    <mergeCell ref="D42:F42"/>
    <mergeCell ref="G42:I44"/>
    <mergeCell ref="J42:L44"/>
    <mergeCell ref="M42:O44"/>
    <mergeCell ref="D43:F43"/>
    <mergeCell ref="A26:B26"/>
    <mergeCell ref="A27:B27"/>
    <mergeCell ref="D27:N27"/>
    <mergeCell ref="O27:Q27"/>
    <mergeCell ref="A28:D28"/>
    <mergeCell ref="F28:Q40"/>
    <mergeCell ref="D21:N22"/>
    <mergeCell ref="O21:Q22"/>
    <mergeCell ref="D23:N24"/>
    <mergeCell ref="O23:Q24"/>
    <mergeCell ref="D25:N26"/>
    <mergeCell ref="O25:Q26"/>
    <mergeCell ref="AD17:AD18"/>
    <mergeCell ref="AE17:AE18"/>
    <mergeCell ref="AF17:AF18"/>
    <mergeCell ref="AG17:AG18"/>
    <mergeCell ref="D19:N20"/>
    <mergeCell ref="O19:Q20"/>
    <mergeCell ref="X17:X18"/>
    <mergeCell ref="Y17:Y18"/>
    <mergeCell ref="Z17:Z18"/>
    <mergeCell ref="AA17:AA18"/>
    <mergeCell ref="AB17:AB18"/>
    <mergeCell ref="AC17:AC18"/>
    <mergeCell ref="Q17:Q18"/>
    <mergeCell ref="S17:S18"/>
    <mergeCell ref="T17:T18"/>
    <mergeCell ref="U17:U18"/>
    <mergeCell ref="V17:V18"/>
    <mergeCell ref="W17:W18"/>
    <mergeCell ref="K17:K18"/>
    <mergeCell ref="L17:L18"/>
    <mergeCell ref="M17:M18"/>
    <mergeCell ref="N17:N18"/>
    <mergeCell ref="O17:O18"/>
    <mergeCell ref="P17:P18"/>
    <mergeCell ref="AR12:AR13"/>
    <mergeCell ref="AS12:AU12"/>
    <mergeCell ref="AV12:AV13"/>
    <mergeCell ref="D17:D18"/>
    <mergeCell ref="E17:E18"/>
    <mergeCell ref="F17:F18"/>
    <mergeCell ref="G17:G18"/>
    <mergeCell ref="H17:H18"/>
    <mergeCell ref="I17:I18"/>
    <mergeCell ref="J17:J18"/>
    <mergeCell ref="AA6:AT6"/>
    <mergeCell ref="AX6:AZ6"/>
    <mergeCell ref="A9:C9"/>
    <mergeCell ref="D9:Q9"/>
    <mergeCell ref="D10:D11"/>
    <mergeCell ref="E10:Q10"/>
    <mergeCell ref="AA10:AT10"/>
    <mergeCell ref="AX10:AZ10"/>
    <mergeCell ref="AA11:AT11"/>
    <mergeCell ref="AX11:AZ11"/>
    <mergeCell ref="A2:B5"/>
    <mergeCell ref="C2:M2"/>
    <mergeCell ref="C3:M3"/>
    <mergeCell ref="AA3:AT3"/>
    <mergeCell ref="AX3:AZ3"/>
    <mergeCell ref="C4:M4"/>
    <mergeCell ref="AA4:AT4"/>
    <mergeCell ref="AX4:AZ4"/>
    <mergeCell ref="C5:M5"/>
    <mergeCell ref="AX5:AZ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duymaz</dc:creator>
  <cp:lastModifiedBy>huseyin duymaz</cp:lastModifiedBy>
  <dcterms:created xsi:type="dcterms:W3CDTF">2015-06-05T18:19:34Z</dcterms:created>
  <dcterms:modified xsi:type="dcterms:W3CDTF">2026-01-30T21:14:27Z</dcterms:modified>
</cp:coreProperties>
</file>